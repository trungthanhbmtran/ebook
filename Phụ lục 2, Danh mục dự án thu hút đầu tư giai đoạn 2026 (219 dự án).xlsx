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istrator\Desktop\"/>
    </mc:Choice>
  </mc:AlternateContent>
  <xr:revisionPtr revIDLastSave="0" documentId="13_ncr:1_{85CAF862-6B7D-48D4-B37A-5600389AAAE7}" xr6:coauthVersionLast="47" xr6:coauthVersionMax="47" xr10:uidLastSave="{00000000-0000-0000-0000-000000000000}"/>
  <bookViews>
    <workbookView xWindow="-120" yWindow="-120" windowWidth="21840" windowHeight="13140" activeTab="1" xr2:uid="{00000000-000D-0000-FFFF-FFFF00000000}"/>
  </bookViews>
  <sheets>
    <sheet name="NLTT" sheetId="14" r:id="rId1"/>
    <sheet name="Đô thị" sheetId="4" r:id="rId2"/>
    <sheet name="Khu CCCN, cang bien, logistic" sheetId="8" r:id="rId3"/>
    <sheet name="NN, CNCB, TMDV" sheetId="10" r:id="rId4"/>
    <sheet name="YT-GD-MT-CNTT" sheetId="11" r:id="rId5"/>
    <sheet name="DL, The Thao" sheetId="12" r:id="rId6"/>
  </sheets>
  <definedNames>
    <definedName name="_xlnm._FilterDatabase" localSheetId="5" hidden="1">'DL, The Thao'!$A$6:$K$37</definedName>
    <definedName name="_xlnm._FilterDatabase" localSheetId="1" hidden="1">'Đô thị'!$A$6:$L$59</definedName>
    <definedName name="_xlnm._FilterDatabase" localSheetId="2" hidden="1">'Khu CCCN, cang bien, logistic'!$A$4:$N$42</definedName>
    <definedName name="_xlnm._FilterDatabase" localSheetId="0" hidden="1">NLTT!$A$6:$K$37</definedName>
    <definedName name="_xlnm._FilterDatabase" localSheetId="3" hidden="1">'NN, CNCB, TMDV'!$A$4:$K$53</definedName>
    <definedName name="_xlnm._FilterDatabase" localSheetId="4" hidden="1">'YT-GD-MT-CNTT'!$A$6:$K$25</definedName>
    <definedName name="_xlnm.Print_Titles" localSheetId="5">'DL, The Thao'!$6:$6</definedName>
    <definedName name="_xlnm.Print_Titles" localSheetId="0">NLTT!$6:$6</definedName>
    <definedName name="_xlnm.Print_Titles" localSheetId="3">'NN, CNCB, TMDV'!$4:$4</definedName>
    <definedName name="_xlnm.Print_Titles" localSheetId="4">'YT-GD-MT-CNTT'!$6:$6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8" i="14" l="1"/>
  <c r="N40" i="8" l="1"/>
  <c r="H16" i="11" l="1"/>
  <c r="H15" i="11"/>
  <c r="H29" i="4"/>
  <c r="K43" i="4"/>
  <c r="K45" i="10" l="1"/>
  <c r="E14" i="8"/>
  <c r="E26" i="4"/>
</calcChain>
</file>

<file path=xl/sharedStrings.xml><?xml version="1.0" encoding="utf-8"?>
<sst xmlns="http://schemas.openxmlformats.org/spreadsheetml/2006/main" count="1588" uniqueCount="1141">
  <si>
    <t>Hạ tầng giao thông, điện, nước: Chưa có</t>
  </si>
  <si>
    <t xml:space="preserve">Sân golf 36 lỗ và tổ hợp thương mại </t>
  </si>
  <si>
    <t>Đất người dân đang sản xuất nông nghiệp</t>
  </si>
  <si>
    <t>Nhà nước quản lý</t>
  </si>
  <si>
    <t>xã Ea Wer</t>
  </si>
  <si>
    <t xml:space="preserve"> Nhà nước quản lý và người dân đang sử dụng</t>
  </si>
  <si>
    <t>xã Liên Sơn Lắk</t>
  </si>
  <si>
    <t>Đường giao thông thuận lợi; Hệ thống điện, nước đảm bảo</t>
  </si>
  <si>
    <t>Người dân đang quản lý, sử dụng</t>
  </si>
  <si>
    <t>Thuận tiện, sát trung tâm xã Quảng Phú</t>
  </si>
  <si>
    <t>200 giường bệnh</t>
  </si>
  <si>
    <t>Đất trồng cây lâu năm</t>
  </si>
  <si>
    <t>Nhà nước quản lý (đất nông trường bàn giao về địa phương; hiện người dân đang sử dụng)</t>
  </si>
  <si>
    <t>xã Quảng Phú</t>
  </si>
  <si>
    <t>Đáp ứng hạ tầng giao thông kết nối</t>
  </si>
  <si>
    <t>Đất của Nhà nước và của dân</t>
  </si>
  <si>
    <t>Phường Phú Yên</t>
  </si>
  <si>
    <t>- Quy hoạch chung xây dựng Khu kinh tế Nam Phú Yên đến năm 2040 (tại Quyết định số 1226/QĐ-TTg ngày 24/10/2023 của Thủ tướng Chính phủ).
- Quy hoạch sử dụng đất đến năm 2030 thị xã Đông Hòa (tại Quyết định số 1349/QĐ-UBND ngày 09/10/2024, Quyết định số 434/QĐ-UBND ngày 20/3/2025).</t>
  </si>
  <si>
    <t>Đầu tư xây dựng nhà máy xử lý rác thải, nước thải và chất thải nguy hại theo quy hoạch chung xây dựng Khu kinh tế Nam Phú Yên.</t>
  </si>
  <si>
    <t>Đất bãi rác, xử lý chất thải, đất rừng sản xuất</t>
  </si>
  <si>
    <t>Phường Đông Hòa</t>
  </si>
  <si>
    <t>Dự án Nhà máy xử lý rác thải, nước thải và chất thải nguy hại phục vụ Khu kinh tế Nam Phú Yên</t>
  </si>
  <si>
    <t>Thuận lợi</t>
  </si>
  <si>
    <t>Quyết định số 4425/QĐ-UBND ngày 06/9/2019 của UBND thành phố Tuy Hòa (QHCT tỷ lệ 1/500) (được điều chỉnh cục bộ tại Quyết định số 2223/QĐ-UBND ngày 23/5/2022)</t>
  </si>
  <si>
    <t>Xây dựng 02 khối nhà chung cư cao cấp, với số tầng: Tầng nổi tối đa 20 tầng, tầng hầm tối đa 03 tầng, chiều cao công trình: tối đa 75m</t>
  </si>
  <si>
    <t>Đất sạch</t>
  </si>
  <si>
    <t>Đất do nhà nước quản lý</t>
  </si>
  <si>
    <t>2,14</t>
  </si>
  <si>
    <t>Phường Bình Kiến</t>
  </si>
  <si>
    <t>Quyết định số 2153/QĐ-UBND ngày 27/12/2019 của UBND tỉnh Phú Yên (điều chỉnh cục bộ khu đất); (được điều chỉnh bởi Quyết định số 442/QĐ-UBND ngày 24/3/2021)</t>
  </si>
  <si>
    <t>Xây dựng nhà chung cư cao cấp kết hợp thương mại - dịch vụ: Chiều cao tối đa 150m; tầng nổi tối thiểu 20 tầng, tối đa 40 tầng; tầng hầm tối đa 03 tầng; tối đa 1.393 căn hộ</t>
  </si>
  <si>
    <t>0,86</t>
  </si>
  <si>
    <t>Quyết định số 4425/QĐ-UBND ngày 06/9/2019 của UBND thành phố Tuy Hòa (QHCT tỷ lệ 1/500)</t>
  </si>
  <si>
    <t>Xây dựng hoàn thiện phần thô và hoàn thiện mặt ngoài các căn nhà ở liên kế dạng hỗn hợp</t>
  </si>
  <si>
    <t>2,16</t>
  </si>
  <si>
    <t>2,34</t>
  </si>
  <si>
    <t>Hệ thống đường giao thông và đường dây trung áp phía Tây khu đất, có hệ thống đường QL 14 cũ và QL 14 nắn thẳng</t>
  </si>
  <si>
    <t>Nhà ở và các tiện ích thương mại</t>
  </si>
  <si>
    <t>Đất trồng cà phê, tiêu, cây hàng năm, nhà ở, hệ thống suối</t>
  </si>
  <si>
    <t>xã Krông Búk</t>
  </si>
  <si>
    <t>Xây dựng khu dân cư kiểu mẫu, hiện đại gắn kết với hệ thống hạ tầng kỹ thuật, hạ tầng xã hội với khu vực và các dự án lân cận</t>
  </si>
  <si>
    <t>Đất nông nghiệp trồng cây lâu năm (caphe, sầu riêng,..)</t>
  </si>
  <si>
    <t>Cty lâm nghiệp Phước An đang quản lý: 02 ha và đất của dân: 08 ha</t>
  </si>
  <si>
    <t>xã Krông Pắc</t>
  </si>
  <si>
    <t xml:space="preserve">Đầu tư xây dựng khu đô thị sinh thái văn hóa du lịch dân tộc </t>
  </si>
  <si>
    <t>30,53ha đất khu Làng văn hóa cũ là đất sạch; 6,25ha đất mặt nước chuyên dùng (hồ Ea Nao); còn lại đất của các hộ gia đình</t>
  </si>
  <si>
    <t>Nhà nước quản lý, đất mặt nước; đất ở của các hộ dân</t>
  </si>
  <si>
    <t>phường Tân An</t>
  </si>
  <si>
    <t>Phường Hòa Hiệp</t>
  </si>
  <si>
    <t>Xây dựng khu dân cư đô thị hiện đại với có các cơ sở hạ tầng xã hội, hạ tầng kỹ thuật đồng bộ hoàn thiện, có môi trường sống tốt, đảm bảo tiêu chuẩn.</t>
  </si>
  <si>
    <t xml:space="preserve">Đất trồng cây hàng năm khác, đất chuyên trồng lúa nước, đất ở </t>
  </si>
  <si>
    <t>Khu đô thị Nam Bình (giai đoạn 1)</t>
  </si>
  <si>
    <t>Đáp ứng hạ tầng kết nối.</t>
  </si>
  <si>
    <t>Đất của Nhà nước và của dân quản lý</t>
  </si>
  <si>
    <t>Xây dựng Khu đô thị dịch vụ, du lịch tổng hợp với cơ sở hạ tầng và dịch vụ đồng bộ theo hướng phát triển bền vững và bảo vệ môi trường; với các khu chức năng dịch vụ chất lượng cao, đáp ứng nhu cầu ở và nghỉ dưỡng.</t>
  </si>
  <si>
    <t>Đất rừng phòng hộ, đất nuôi trồng thủy sản, đất chưa sử dụng, đất nông nghiệp khác</t>
  </si>
  <si>
    <t>Khu đô thị dịch vụ ven biển thuộc Khu kinh tế Nam Phú Yên</t>
  </si>
  <si>
    <t>- Quy hoạch chung xây dựng Khu kinh tế Nam Phú Yên đến năm 2040 (tại Quyết định số 1226/QĐ-TTg ngày 24/10/2023 của Thủ tướng Chính phủ).
- Quy hoạch chung thành phố Tuy Hòa và khu vực lân cận, tỉnh Phú Yên đến năm 2040 (tại Quyết định số 996/QĐ-UBND ngày 22/7/2024).
- Quy hoạch phân khu tỷ lệ 1/2000 (tại Quyết định số 1283/QĐ-UBND ngày 20/7/2007; số 1245/QĐ-UBND ngày 06/7/2009 của UBND tỉnh).
- Khu vực đang tổ chức lập điều chỉnh quy hoạch phân khu tỷ lệ 1/2.000</t>
  </si>
  <si>
    <t>Đất bằng chưa sử dụng</t>
  </si>
  <si>
    <t>Đất của Nhà nước quản lý</t>
  </si>
  <si>
    <t>Phức hợp (nghỉ dưỡng, thể thao, giải trí...) bao quanh bởi các đường Âu Cơ và Hồ Xuân Hương</t>
  </si>
  <si>
    <t>Xây dựng cơ sở hạ tầng, sản xuất chuỗi cung ứng, lưu kho, trung chuyển, phân phối hàng hóa</t>
  </si>
  <si>
    <t>Công ty TNHH MTV Lâm nghiệp Phước An đang quản lý, sử dụng</t>
  </si>
  <si>
    <t>xã Tân Tiến</t>
  </si>
  <si>
    <t>- Quy hoạch chung xây dựng Khu kinh tế Nam Phú Yên đến năm 2040 (tại Quyết định số 1226/QĐ-TTg ngày 24/10/2023 của Thủ tướng Chính phủ).
- Quy hoạch sử dụng đất đến năm 2030 thị xã Đông Hòa (tại Quyết định số 1349/QĐ-UBND ngày 09/10/2024, Quyết định số 434/QĐ-UBND ngày 20/3/2025).
- Quy hoạch phân khu xây dựng tỷ lệ 1/2.000 (tại Quyết định số 767/QĐ-UBND ngày 08/6/2021 của UBND tỉnh).
- Đã có Quy hoạch chi tiết 1/500 đối với phần diện tích 72,5ha của khu vực đô thị (Quyết định số 2240/QĐ-UBND ngày 22/6/2022 của UBND TX Đông Hòa).</t>
  </si>
  <si>
    <t>Đất chuyên trồng lúa nước, đất ở nông thôn, đất nương rẫy trồng cây hàng năm khác, đất mặt nước chuyên dùng, đất trồng cây hàng năm khác</t>
  </si>
  <si>
    <t>338,4</t>
  </si>
  <si>
    <t>Xã Hòa Xuân</t>
  </si>
  <si>
    <t>Khu đô thị - du lịch Biển Hồ - Đá Bia</t>
  </si>
  <si>
    <t>- Quy hoạch chung xây dựng Khu kinh tế Nam Phú Yên đến năm 2040 (tại Quyết định số 1226/QĐ-TTg ngày 24/10/2023 của Thủ tướng Chính phủ).
- Quy hoạch sử dụng đất đến năm 2030 thị xã Đông Hòa (tại Quyết định số 1349/QĐ-UBND ngày 09/10/2024, Quyết định số 434/QĐ-UBND ngày 20/3/2025).
- Khu vực đang triển khai lập quy hoạch phân khu tỷ lệ 1/2000.</t>
  </si>
  <si>
    <t>Xây dựng quần thể du lịch đặc thù, cao cấp, hiện đại và đồng bộ các yêu cầu về kỹ thuật xây dựng và môi trường theo tiêu chuẩn quốc gia và quốc tế phục vụ cho khách du lịch trong và ngoài nước với nhiều loại hình dịch vụ khác nhau, bao gồm các công trình nghỉ dưỡng sang trọng đúng tiêu chuẩn.</t>
  </si>
  <si>
    <t>Đất cơ sở sản xuất phi nông nghiệp, đất quốc phòng, đất rừng sản xuất, đất chưa sử dụng</t>
  </si>
  <si>
    <t>201,2</t>
  </si>
  <si>
    <t>Khu du lịch nghỉ dưỡng cao cấp vịnh Vũng Rô</t>
  </si>
  <si>
    <t>Hình thành một quần thể du lịch đặc thù, cao cấp, hiện đại và đồng bộ các yêu cầu về kỹ thuật xây dựng và môi trường theo tiêu chuẩn quốc gia và quốc tế phục vụ cho khách du lịch trong và ngoài nước với nhiều loại hình dịch vụ khác nhau, bao gồm các công trình nghỉ dưỡng sang trọng đúng tiêu chuẩn.</t>
  </si>
  <si>
    <t>Đất rừng sản xuất</t>
  </si>
  <si>
    <t>10,6</t>
  </si>
  <si>
    <t>Khu du lịch nghỉ dưỡng cao cấp Hòn Nưa (tổng DT đồ án QH 33,9ha)</t>
  </si>
  <si>
    <t>Đây là dự án thứ cấp được thu hút đầu tư sau khi hạ tầng KCN được đầu tư hoàn thành.</t>
  </si>
  <si>
    <t>- Quy hoạch chung xây dựng Khu kinh tế Nam Phú Yên đến năm 2040 (tại Quyết định số 1226/QĐ-TTg ngày 24/10/2023 của Thủ tướng Chính phủ).</t>
  </si>
  <si>
    <t>Đất chuyên trồng lúa nước và đất nông nghiệp khác</t>
  </si>
  <si>
    <t>xã Xuân Cảnh</t>
  </si>
  <si>
    <t>tiếp giáp Đường kè Đầm Cù Mông</t>
  </si>
  <si>
    <t>đất dân và đất UBND xã</t>
  </si>
  <si>
    <t xml:space="preserve">Đường giao thông huyện lộ, mặt đường nhựa, rộng 5.5m, quy hoạch 24m. Điện lưới quốc gia. </t>
  </si>
  <si>
    <t>Xây dựng cơ sở hạ tầng, đường nội bộ, điện chiếu sáng thoát nước. sản xuất, chế biến, nông sản, lâm sản, thủy sản, hải sản tập trung</t>
  </si>
  <si>
    <t>Công ty TNHH MTV cao su Krông Búk đang trồng cao su</t>
  </si>
  <si>
    <t>Công ty TNHH MTV cao su Krông Búk đang quản lý, sử dụng (Tổng Cty Caphe Việt Nam đã thống nhất bàn giao cho địa phương)</t>
  </si>
  <si>
    <t>xã Krông Năng</t>
  </si>
  <si>
    <t>Đầu tư kho LNG nhằm cung cấp khí cho các hộ tiêu dùng và xuất khẩu.</t>
  </si>
  <si>
    <t>- Quy hoạch chung xây dựng Khu kinh tế Nam Phú Yên đến năm 2040 (tại Quyết định số 1226/QĐ-TTg ngày 24/10/2023 của Thủ tướng Chính phủ).
- Quy hoạch sử dụng đất đến năm 2030 thị xã Đông Hòa (tại Quyết định số 1349/QĐ-UBND ngày 09/10/2024, Quyết định số 434/QĐ-UBND ngày 20/3/2025).
- Quy hoạch tổng thể về năng lượng quốc gia thời kỳ 2021 - 2030, tầm nhìn đến năm 2050 (tại Quyết định số 893/QĐ-TTg ngày 26/7/2023 của Thủ tướng Chính phủ).</t>
  </si>
  <si>
    <t>Đầu tư xây dựng Tổ hợp lọc hóa dầu 8 triệu tấn/năm, nhằm đáp ứng nhu cầu ngày càng tăng của Việt Nam và thế giới về các loại sản phẩm dầu mỏ chất lượng cao.</t>
  </si>
  <si>
    <t>Đầu tư xây dựng trung tâm logistics gắn với cảng cạn (ICD) phục vụ hoạt động của cảng Vũng Rô, cảng Bãi Gốc và các KCN trong KKT.</t>
  </si>
  <si>
    <t>II</t>
  </si>
  <si>
    <t>- Quy hoạch tỉnh Phú Yên thời kỳ 2021-2030, tầm nhìn đến năm 2050 tại Quyết định số 1746/QĐ-TTg ngày 30/12/2023 của Thủ tướng Chính phủ. 
- Quy hoạch chung xây dựng Khu kinh tế Nam Phú Yên đến năm 2040 (tại Quyết định số 1226/QĐ-TTg ngày 24/10/2023 của Thủ tướng Chính phủ).
- Quy hoạch sử dụng đất đến năm 2030 thị xã Đông Hòa (tại Quyết định số 1349/QĐ-UBND ngày 09/10/2024, Quyết định số 434/QĐ-UBND ngày 20/3/2025).
- Quy hoạch chi tiết tỷ lệ 1/500 Cụm công nghiệp Nam Bình 1 tại Quyết định số 1201/QĐ-UBND ngày 29/3/2019 (Đang đề xuất chủ trương điều chỉnh quy hoạch).</t>
  </si>
  <si>
    <t>Xây dựng đồng bộ kết cấu hạ tầng kỹ thuật tại CCN và cho các nhà đầu tư thuê đất, thuê lại đất để thực hiện dự án đầu tư, tổ chức sản xuất, kinh doanh theo quy hoạch được duyệt.</t>
  </si>
  <si>
    <t>Đất trồng cây lâu năm, đất cụm công nghiệp, đất nghĩa trang, đất nông nghiệp khác</t>
  </si>
  <si>
    <t>Đất chuyên trồng lúa nước, đất ở tại nông thôn, đất rừng sản xuất, đất nông nghiệp khác</t>
  </si>
  <si>
    <t>Đất chuyên trồng lúa nước, đất ở tại nông thôn, đất nuôi trồng thủy sản, đất nông nghiệp khác</t>
  </si>
  <si>
    <t>Nhà đầu tư đang chuẩn bị thủ tục đầu tư để triển khai đầu tư kết cấu hạ tầng KCN Hòa Tâm - Giai đoạn 1.</t>
  </si>
  <si>
    <t>- Quy hoạch chung xây dựng Khu kinh tế Nam Phú Yên đến năm 2040 (tại Quyết định số 1226/QĐ-TTg ngày 24/10/2023 của Thủ tướng Chính phủ);
- Quy hoạch tổng thể về năng lượng quốc gia thời kỳ 2021 - 2030, tầm nhìn đến năm 2050 (tại Quyết định số 893/QĐ-TTg ngày 26/7/2023 của Thủ tướng Chính phủ).
- Quy hoạch sử dụng đất đến năm 2030 thị xã Đông Hòa (tại Quyết định số 1349/QĐ-UBND ngày 09/10/2024, Quyết định số 434/QĐ-UBND ngày 20/3/2025).
- Quyết định 945/QĐ-UBND ngày 12/7/2024 của UBND tỉnh về việc phê duyệt Đồ án quy hoạch phân khu tỷ lệ 1/2.000 Khu công nghiệp Hòa Tâm thuộc Khu kinh tế Nam Phú Yên.</t>
  </si>
  <si>
    <t>Đất chuyên trồng lúa nước, đất ở tại nông thôn, đất nuôi trồng thủy sản, đất rừng sản xuất, đất nông nghiệp khác</t>
  </si>
  <si>
    <t>423,72</t>
  </si>
  <si>
    <t xml:space="preserve">Xã Hòa Xuân </t>
  </si>
  <si>
    <t>I</t>
  </si>
  <si>
    <t>Điều kiện CS hạ tầng (Điện, nước, đường giao thông…)</t>
  </si>
  <si>
    <t>Các quyết định phê duyệt quy hoạch: sử dụng đất, nông thôn mới, ngành, xây dựng…</t>
  </si>
  <si>
    <t>Dự kiến Quy mô đầu tư</t>
  </si>
  <si>
    <t>Hiện trạng sử dụng đất</t>
  </si>
  <si>
    <t>Nguồn gốc đất</t>
  </si>
  <si>
    <t>Dự kiến Tổng vốn đầu tư (tỷ đồng)</t>
  </si>
  <si>
    <t>Diện tích (ha)</t>
  </si>
  <si>
    <t>Địa điểm</t>
  </si>
  <si>
    <t>Tên dự án</t>
  </si>
  <si>
    <t>STT</t>
  </si>
  <si>
    <t>Trồng cây lâu năm, hàng năm</t>
  </si>
  <si>
    <t>Đầu tư xây dựng và kinh doanh kết cấu hạ tầng CCN, thúc đẩy phát triển ngành CN xã Ea H'Leo</t>
  </si>
  <si>
    <t>Chưa đầu tư</t>
  </si>
  <si>
    <t>Phi nông nghiệp, thuộc quản lý của Cty Lâm nghiệp M’Drắk và của một số hộ dân</t>
  </si>
  <si>
    <t>Trồng rừng, cây hằng năm và lúa nước</t>
  </si>
  <si>
    <t>Đầu tư cơ sở hạ tầng và kinh doanh kết cấu hạ tầng Cụm công nghiệp thúc đẩy phát triển ngành công nghiệp xã Ea Trang</t>
  </si>
  <si>
    <t>Đã có đường điện 220v đi qua; đường GTNT loại B, đi lại bình thường thuận lợi</t>
  </si>
  <si>
    <t>9,37</t>
  </si>
  <si>
    <t>Xã Pơng Drang</t>
  </si>
  <si>
    <t>Đầu tư xây dựng và kinh doanh kết cấu hạ tầng CCN, thúc đẩy phát triển ngành CN xã Pơng Drang</t>
  </si>
  <si>
    <t>Xã Xuân Lãnh</t>
  </si>
  <si>
    <t>Đất cụm công nghiệp (SKN)</t>
  </si>
  <si>
    <t>Đầu tư kết cấu hạ tầng CCN Soi Nga, diện tích 56 ha</t>
  </si>
  <si>
    <t>Quyết định số 1746/QĐ-TTg ngày 30/12/2023 của Thủ tướng Chính phủ phê duyệt Quy hoạch tỉnh Phú Yên thời kỳ 2021-2030, tầm nhìn đến năm 2050; Quyết định số 106/QĐ-UBND ngày 20/01/2014 của UBND tỉnh Phú Yên về việc phê duyệt Quy hoạch mạng lưới cụm co6nhg nghiệp tỉnh Phú Yên đến năm 2020, tầm nhìn đến năm 2030; Quyết định số 960/QĐ-UBND ngày 04/6/2015 của UBND tỉnh Phú Yên Ban hành kế hoạch triển khai thực hiện quy hoạch mạng lưới cụm công nghiệp tình Phú Yên đến năm 2020, tầm nhìn đến năm 2030.</t>
  </si>
  <si>
    <t>Vị trí thuận lợi, gần tuyến Quốc lộ 19C</t>
  </si>
  <si>
    <t>xã Hòa Phú</t>
  </si>
  <si>
    <t>Đất do Nhà nước quản lý</t>
  </si>
  <si>
    <t>Đất trống</t>
  </si>
  <si>
    <t>Không</t>
  </si>
  <si>
    <t xml:space="preserve">454
</t>
  </si>
  <si>
    <t>239,35</t>
  </si>
  <si>
    <t>46,07</t>
  </si>
  <si>
    <t>10,07</t>
  </si>
  <si>
    <t>3,7</t>
  </si>
  <si>
    <t>89,44</t>
  </si>
  <si>
    <t>Nhà máy điện gió Easin 1</t>
  </si>
  <si>
    <t>xã Cư Prơng; xã Krông Buk</t>
  </si>
  <si>
    <t>Nhà máy điện gió Krông Búk 3</t>
  </si>
  <si>
    <t>Nhà máy điện gió Thuận Phong Đắk Lắk</t>
  </si>
  <si>
    <t>Nhà máy điện gió Tân Lập – Ea Hồ</t>
  </si>
  <si>
    <t>xã Prơng Drang; xã Krông Năng</t>
  </si>
  <si>
    <t>Nhà máy điện gió Cư Pơng 1,2</t>
  </si>
  <si>
    <t>xã Tam Giang</t>
  </si>
  <si>
    <t>Nhà máy điện gió NT 1; NT 2</t>
  </si>
  <si>
    <t>Nhà máy điện gió Ea Sin</t>
  </si>
  <si>
    <t>Nhà máy điện Gió Xanh Nam Việt</t>
  </si>
  <si>
    <t>Nhà máy điện gió LRSH Sơn Hòa</t>
  </si>
  <si>
    <t>Nhà máy xử lý rác thải sinh hoạt và phát điện Trung An</t>
  </si>
  <si>
    <t>Nhà máy điện sinh khối Phú Yên</t>
  </si>
  <si>
    <t>34,5</t>
  </si>
  <si>
    <t>12,5</t>
  </si>
  <si>
    <t>22,5</t>
  </si>
  <si>
    <t>27,5</t>
  </si>
  <si>
    <t>26,23</t>
  </si>
  <si>
    <t>8,19</t>
  </si>
  <si>
    <t>31,5</t>
  </si>
  <si>
    <t>4,5</t>
  </si>
  <si>
    <t>24,12</t>
  </si>
  <si>
    <t>Đất người dân sử dụng</t>
  </si>
  <si>
    <t>Sân golf 18 lỗ</t>
  </si>
  <si>
    <t>Sân golf hồ Ea Kao</t>
  </si>
  <si>
    <t>phường Ea Kao</t>
  </si>
  <si>
    <t>76,7</t>
  </si>
  <si>
    <t>Nhà ở, đất trồng cây hàng năm, đất trồng cây lâu năm, chuồng trại chăn nuôi gia súc, gia cầm, ao nuôi cá</t>
  </si>
  <si>
    <t>Khoảng 4 ha đất đã cấp giấy chứng nhận quyền sử dụng đất cho hộ dân; diện tích đất còn lại: do Nhà nước quản lý</t>
  </si>
  <si>
    <t>Tổ hợp khu du lịch sinh thái, nghỉ dưỡng cao cấp An Hòa Hải</t>
  </si>
  <si>
    <t>Xã An Hòa Hải</t>
  </si>
  <si>
    <t>Đất rừng sản xuất, đất chưa sử dụng, đất khác,..</t>
  </si>
  <si>
    <t>Tổ hợp Khu du lịch sinh thái, vui chơi giải trí và sân golf hiện đại, đồng bộ về giao thông và hạ tầng kỹ thuật</t>
  </si>
  <si>
    <t>Cơ bản đáp ứng hạ tầng kết nối.</t>
  </si>
  <si>
    <t>- Quy hoạch sử dụng đất đến năm 2030 huyện Tuy An được phê duyệt điều chỉnh (tại Quyết định số 1823/QĐ-UBND ngày 26/12/2024), khu đất thuộc quy hoạch đất thương mại dịch vụ và đất thể thao;
- Đồ án Quy hoạch chung xây dựng khu vực xung quanh đầm Ô Loan, huyện Tuy An, tỉnh Phú Yên đã được UBND tỉnh phê duyệt (tại Quyết định số 1693/QĐ-UBND ngày 15/12/2023), khu đất thuộc quy hoạch chức năng hỗn hợp bao gồm sân golf, thương mại dịch vụ,...</t>
  </si>
  <si>
    <t>Phường Tuy Hòa</t>
  </si>
  <si>
    <t>Đất trồng lúa</t>
  </si>
  <si>
    <t>Đất cơ sở y tế (Bệnh viện Sản Nhi Phú Yên đang quản lý và sử dụng)</t>
  </si>
  <si>
    <t>Đất của Nhà nước</t>
  </si>
  <si>
    <t>Đầu tư xây dựng bệnh viện chuyên khoa chất lượng cao có quy mô khoảng 400 giường với hệ thống trang thiết bị ý tế hiện đại, đồng bộ, đáp ứng nhu cầu khám chữa bệnh của người dân trong khu vực</t>
  </si>
  <si>
    <t>Đầu tư xây dựng bệnh viện đa khoa chất lượng cao có quy mô khoảng 300 giường với hệ thống trang thiết bị ý tế hiện đại, đồng bộ, đáp ứng nhu cầu khám chữa bệnh của người dân trong khu vực</t>
  </si>
  <si>
    <t>Xã Sông Hinh</t>
  </si>
  <si>
    <t>Đất do nhà nước quản lý, đất giao người dân quản lý, sử dụng</t>
  </si>
  <si>
    <t>Đất ở, đất giáo dục, đất giao thông, đất trồng cây hàng năm …</t>
  </si>
  <si>
    <t>Nhà ở thương mại, công trình thương mại dịch vụ, trường mầm non, công viên cây xanh</t>
  </si>
  <si>
    <t>Quyết định 1424/QĐ- UBND ngày 22/10/2024 của UBND tỉnh Phú Yên (cũ) phê duyệt điều chỉnh Quy hoạch sử dụng đất đến năm 2030 huyện Sông Hinh;
Quyết định số 3141/QĐ-UBND ngày 27/12/2021 của UBND huyện Sông Hinh (quy hoạch 1/500)</t>
  </si>
  <si>
    <t xml:space="preserve">Thuận lợi </t>
  </si>
  <si>
    <t xml:space="preserve"> Đất do nhà nước quản lý, đất giao người dân quản lý, sử dụng</t>
  </si>
  <si>
    <t>Đất lúa, đất ở, đất nghĩa trang, đất giao thông</t>
  </si>
  <si>
    <t>Quyết định số 1824/QĐ-UBND ngày 26/12/2024 của UBND tỉnh Phú Yên (cũ) phê duyệt Quy hoạch sử dụng đất đến năm 2030 của huyện Phú Hòa.
Quyết định số 3945/QĐ-UBND ngày 09/9/2022 UBND huyện Phú Hòa (Quy hoạch 1/500)</t>
  </si>
  <si>
    <t>Đất lúa, mặt nước, giao thông</t>
  </si>
  <si>
    <t>Đất lúa, đất ở, đất nghĩa trang, đất giao thông, …</t>
  </si>
  <si>
    <t>Nhà ở thương mại, công trình hạ tầng xã hội, hạ tầng kỹ thuật đồng bộ</t>
  </si>
  <si>
    <t>Khu đô thị hồ Ea Tam</t>
  </si>
  <si>
    <t>phường Buôn Ma Thuột</t>
  </si>
  <si>
    <t>Hộ gia đình, cá nhân; đất giao thông hiện hữu do Nhà nước quản lý</t>
  </si>
  <si>
    <t>phần lớn là đất trồng cà phê, một phần là đất ở hiện trạng và các loại đất nông nghiệp, đất kinh doanh, đất trống, đất sông suối, mặt nước và đất hạ tầng kỹ thuật khác.</t>
  </si>
  <si>
    <t>Đầu tư xây dựng khu đô thị đồng bộ về nhà ở với công trình hạ tầng kỹ thuật, hạ tầng xã hội và các công trình khác phục vụ nhu cầu ở (công trình thương mại dịch vụ; công trình công cộng, cảnh quan...). Quy mô dân số: khoảng 7.974  người.</t>
  </si>
  <si>
    <t>Quyết định số 1433/QĐ-UBND ngày 25/6/2025 của UBND tỉnh Đắk Lắk điều chỉnh cục bộ Quy hoạch phân khu tỷ lệ 1/2000 khu đô thị mới Đồi Thủy Văn và Trung tâm Thể dục Thể thao thành phố Buôn Ma Thuột</t>
  </si>
  <si>
    <t>Khu dân cư trung tâm phường Tân Hòa</t>
  </si>
  <si>
    <t>phường Tân Lập</t>
  </si>
  <si>
    <t>Hộ gia đình, cá nhân</t>
  </si>
  <si>
    <t>Xã Cư M’gar</t>
  </si>
  <si>
    <t>chủ yếu là khoảng đất trống, trồng cây cao su và một số cây lâu năm khác</t>
  </si>
  <si>
    <t>Quy mô được xác định theo chi tiêu Quy hoạch chi tiết tỷ lệ 1/500 Khu dân cư nông thôn kết hợp du lịch sinh thái xã Ea Kpam và xã Cư M’gar, huyện Cư M’gar được UBND huyện Cư M’gar phê duyệt tại Quyết định số 971/QĐ-UBND ngày 17/3/2022. Quy mô dân số: Dự kiến ≈ 7.377 người.</t>
  </si>
  <si>
    <t>đất ở là 10,39ha chiếm 36%, Đất nông nghiệp là 13,88 ha chiếm tỷ lệ cao nhất 48,2% bao gồm đất trồng lúa dọc theo suối Ko Tam, đất trồng rau, hoa màu, cây ăn quả, cây công nghiệp nằm xen lẫn với các khu dân cư. Đất trống là 2,54ha chiếm khoảng 8,8%. Mặt nước là 0,52ha chiếm 1,8% còn lại là đất giao thông 1,5ha chiếm 5,2%.</t>
  </si>
  <si>
    <t>Công suất thiết kế: ≥ 500 tấn/ngày, có khả năng thu hồi năng lượng, xử lý các chất thải thứ cấp. Nhà máy điện có công suất: Khoảng 09 MW.</t>
  </si>
  <si>
    <t>Nhà máy xử lý rác thải sinh hoạt phát điện Hòa Phú.</t>
  </si>
  <si>
    <t>Khu dân cư nông thôn kết hợp du lịch sinh thái xã Ea Kpam và xã Cư M’gar</t>
  </si>
  <si>
    <t xml:space="preserve">Xác định theo Quyết định số 7033/QĐ-UBND ngày 31/10/2024 của UBND thành phố Buôn Ma Thuột về việc phê duyệt Quy hoạch chi tiết tỷ lệ 1/500 Khu dân cư đô thị mới tại phường Tân Hòa, thành phố Buôn Ma Thuột. Quy mô dân số: Dự kiến 4.030 người. </t>
  </si>
  <si>
    <t>- Phù họp Quy hoạch tỉnh Đắk Lắk thời kỳ 2021-2030, tầm nhìn đến năm 2025 được Thủ tướng Chính phủ phê duyệt tại Quyết định số 1747/QĐ-TTg ngày 30/12/2023
 - Phù họp Quy hoạch chi tiết 1/500 Khu dân cư đô thị mới Phường Tân Hoà, thành phố Buôn Ma Thuột được UBND thành phố phê duyệt tại Quyết định số 7033/QĐ-ƯBND ngày 31/10/2024 
 - Phù họp kế hoạch chương trình phát triển nhà ở tại Quyết định số 703/QĐ-UBND ngày 05/3/2024 của UBND tỉnh.</t>
  </si>
  <si>
    <t xml:space="preserve"> Khu nhà ở chung cư tại lô đất ký hiệu 4 phía đông, đường Hùng Vương (đoạn từ đường Trần Hào - đường số 14)</t>
  </si>
  <si>
    <t>Khu nhà ở hỗn hợp cao cấp số 07 phía Tây, đường Hùng Vương,</t>
  </si>
  <si>
    <t>Khu nhà ở tại lô đất ký hiệu 6 phía đông, đường Hùng Vương (đoạn từ đường Trần Hào - đường số 14)</t>
  </si>
  <si>
    <t>Xây dựng khu đô thị và du lịch văn hóa, nghỉ dưỡng sinh thái với cảnh quan thiên nhiên hấp dẫn kết hợp với các khu vui chơi giải trí, dịch vụ du lịch ven hồ và du lịch văn hóa hấp dẫn, sân gôn 18 lỗ hiện đại với cơ sở hạ tầng và dịch vụ đồng bộ theo hướng phát triển bền vững và bảo vệ môi trường. Đáp ứng nhu cầu nghỉ dưỡng, du lịch văn hóa của du khách trong và ngoài nước.</t>
  </si>
  <si>
    <t>- Quy hoạch chung xây dựng Khu kinh tế Nam Phú Yên đến năm 2040 (tại Quyết định số 1226/QĐ-TTg ngày 24/10/2023 của Thủ tướng Chính phủ).
- Quy hoạch sử dụng đất đến năm 2030 thị xã Đông Hòa (tại Quyết định số 1349/QĐ-UBND ngày 09/10/2024, Quyết định số 434/QĐ-UBND ngày 20/3/2025).
- Quy hoạch chi tiết tỷ lệ 1/500 dự án Khu đô thị Nam Bình tại Quyết định số 2841/QĐ-UBND ngày 31/12/2020.</t>
  </si>
  <si>
    <t>Đất nhà nước quản lý</t>
  </si>
  <si>
    <t>50 giường bệnh</t>
  </si>
  <si>
    <t>Dự án phát triển sản xuất giống rong biển bằng công nghệ nuôi cấy mô; nuôi thương phẩm rong biển ngoài tự nhiên</t>
  </si>
  <si>
    <t>Các xã ven biển có NTTS</t>
  </si>
  <si>
    <t>Dự án phát triển nuôi trồng thủy sản vùng biển hở</t>
  </si>
  <si>
    <t>Khu đô thị mới kết hợp TMDV và Thể thao</t>
  </si>
  <si>
    <t xml:space="preserve">Phường Xuân Đài </t>
  </si>
  <si>
    <t>Đất nhà nước, đất của dân</t>
  </si>
  <si>
    <t>Đất nông
nghiệp (cây
hàng năm, cây lâu năm) và khoảng
2.500 m2 đất ở</t>
  </si>
  <si>
    <t>- Quyết định số 1218/QĐ- UBND ngày 09/9/2024 của UBND tỉnh Phú Yên: về việc phê duyệt Điều chỉnh Quy hoạch sử dụng đất đến năm 2030 thị xã Sông Cầu, tỉnh Phú Yên.
- Quyết định số 501/QĐ- UBND ngày 28/3/2025 của UBND tỉnh Phú Yên phê duyệt đồ án điều chỉnh quy hoạch chung thị xã Sông Cầu đến năm 2045.</t>
  </si>
  <si>
    <t>- Đường bê tông có mặt đường rộng 5,5m đến khu đô thị
- Cơ sở hạ tầng khác chưa đầu tư</t>
  </si>
  <si>
    <t>785,62</t>
  </si>
  <si>
    <t>xã Liên  Sơn Lắk</t>
  </si>
  <si>
    <t>Đất hộ gia đình
cá nhân được chính quyền địa phương xác nhận sử dụng ổn định</t>
  </si>
  <si>
    <t>Hệ thống giao thông và điện nước đảm bảo</t>
  </si>
  <si>
    <t>Thôn 10, Xã Pơng Drang</t>
  </si>
  <si>
    <t>Đất do người dân đang sử dụng, đã cấp GCNQSDĐ</t>
  </si>
  <si>
    <t>Đất do nhà nước quản lý, đất giao người dân quản lý, sử dụng</t>
  </si>
  <si>
    <t>Nhà máy xử lý rác thải sinh hoạt</t>
  </si>
  <si>
    <t>Đất do một số hộ dân đang canh tác</t>
  </si>
  <si>
    <t>Đất trồng cây hàng năm</t>
  </si>
  <si>
    <t>Xây dựng lò đốt rác và bãi xử lý rác</t>
  </si>
  <si>
    <t>Chưa được đầu tư</t>
  </si>
  <si>
    <t>Phường Buôn Ma Thuột</t>
  </si>
  <si>
    <t>Đất giao người dân quản lý, sử dụng</t>
  </si>
  <si>
    <t>500 căn</t>
  </si>
  <si>
    <t>Quyết định số 2164/QĐ-UBND ngày 18/9/2014 của UBND tỉnh (1/2000)</t>
  </si>
  <si>
    <t>Phường Tân An</t>
  </si>
  <si>
    <t>12,79</t>
  </si>
  <si>
    <t>2150 căn</t>
  </si>
  <si>
    <t>Quyết định số 918/QĐ-UBND ngày 14/5/2013 của UBND tỉnh (1/2000)</t>
  </si>
  <si>
    <t>Không thuận lợi</t>
  </si>
  <si>
    <t>4,52</t>
  </si>
  <si>
    <t>630 căn</t>
  </si>
  <si>
    <t>Quyết định số 264/QĐ-UBND ngày 26/01/2022 của UBND tỉnh(1/2000)</t>
  </si>
  <si>
    <t>4,63</t>
  </si>
  <si>
    <t xml:space="preserve">780 căn </t>
  </si>
  <si>
    <t>Quyết định số 650/QĐ-UBND ngày 10/3/2016 của UBND tỉnh (1/2000)</t>
  </si>
  <si>
    <t xml:space="preserve">350 căn </t>
  </si>
  <si>
    <t>Quyết định số 2513/QĐ-UBND ngày 26/8/2016 của UBND tỉnh (1/2000)</t>
  </si>
  <si>
    <t xml:space="preserve">730 căn </t>
  </si>
  <si>
    <t>Quyết định số 560/QĐ-UBND ngày 06/02/2024 của UBND tỉnh (1/2000)</t>
  </si>
  <si>
    <t>Đất lúa</t>
  </si>
  <si>
    <t>1820 căn</t>
  </si>
  <si>
    <t xml:space="preserve">Quyết định số 1009/QĐ-UBND ngày 26/7/2021 của UBND tỉnh (1/500) </t>
  </si>
  <si>
    <t>Xã Xuân Cảnh</t>
  </si>
  <si>
    <t>Do UBND xã và người dân quản lý sử dụng</t>
  </si>
  <si>
    <t>2180 căn</t>
  </si>
  <si>
    <t>Đất trồng lúa, đất ở, đất mồ mả</t>
  </si>
  <si>
    <t>2800 căn</t>
  </si>
  <si>
    <t>Quyết định số 4493/QĐ-UBND ngày 16/10/2018 của UBND TP Tuy Hòa, tỉnh Phú Yên (trước đây) - 1/500.</t>
  </si>
  <si>
    <t xml:space="preserve">Đất do nhà nước quản lý, đất giao người dân </t>
  </si>
  <si>
    <t>Đất ở, đất mồ mả, đất trống</t>
  </si>
  <si>
    <t>680 căn</t>
  </si>
  <si>
    <t>Quyết định số 617/QĐ-UBND ngày 27/2/2020 của UBND TX Đông Hòa, tỉnh Phú Yên (trước đây)- 1/500</t>
  </si>
  <si>
    <t>Khu vực biển</t>
  </si>
  <si>
    <t>Đầu tư vùng NTTS lồng bè</t>
  </si>
  <si>
    <t>Dự án Nuôi trồng thủy sản công nghệ cao</t>
  </si>
  <si>
    <t>Đất trồng lúa + Đất làm muối</t>
  </si>
  <si>
    <t>Đầu tư xây dựng hệ thống hạ tầng thiết yếu cho vùng nuôi công nghệ cao (giao thông, diện, hệ thống cấp nước, xử lý nước thải, chất thải; ao đìa NTTS); hình thành vùng NTTS công nghệ cao.</t>
  </si>
  <si>
    <t>Quyết định số 190/QĐ-UBND ngày 14/02/2024 của UBND tỉnh Phú Yên đề án tổng thể phát triển ngành NTTS đến năm 2030 (Số thứ tự 35, Mục II, phụ XVII  )</t>
  </si>
  <si>
    <t>Nuôi biển công nghiệp vùng biển hở xã Xuân Cảnh</t>
  </si>
  <si>
    <t>Quyết định số 190/QĐ-UBND ngày 14/02/2024 của UBND tỉnh Phú Yên đề án tổng thể phát triển ngành NTTS đến năm 2030 (Số thứ tự 36, Mục II, phụ XVII  )</t>
  </si>
  <si>
    <t>- Sản xuất giống: Trại Sản xuất giống thuộc Trung tâm Khuyến Nông xã Ô Loan
- Các vùng Nuôi trồng thủy Sản vùng biển ven bờ</t>
  </si>
  <si>
    <t>- Sản xuất giống;
- Khu vực biển (trồng rong thương phẩm</t>
  </si>
  <si>
    <t>- Hoàn thiện quy trình sản xuất giống các loài rong biển có giá trịnh kinh tế;
- Phát triển các vùng trồng rong thương phẩm để tạo sản phẩm hàng hóa cung cấp cho thị trường trong nước và xuất khẩu.
- Phương thức: Trồng chuyên canh; trồng ghép các với các vùng nuôi trồng thủy sản lồng bè.</t>
  </si>
  <si>
    <t>Hình thành các vùng NTTS phù hợp với đặc điểm của từng khu vực để khai thác hiệu quả, lợi thế tiềm năng.</t>
  </si>
  <si>
    <t xml:space="preserve">Đất của Nhà nước </t>
  </si>
  <si>
    <t>Đất cơ sở y tế (Quyết định số 3030/QĐ-UBND ngày 17/11/2011 của UBND tỉnh Đắk Lắk về việc điều chuyển tài sản của Bệnh viện Đa khoa TP. Buôn Ma Thuột (cũ) cho Trung tâm Da liễu quản lý, sử dụng)</t>
  </si>
  <si>
    <t>-Quyết định 1668/QĐ-UBND ngày 01/7/2009 của UBND tỉnh về việc xác lập sở hữu toàn dân đối với cơ sở bệnh viện Thành phố Buôn Ma Thuột tại số 235 Xô Viết Nghệ Tĩnh, Phường Thành Công Thành phố Buôn Ma Thuột
'- Quyết định số 3030/QĐ-UBND ngày 17/11/2011 của UBND tỉnh Đắk Lắk về việc điều chuyển tài sản của Bệnh viện Đa khoa TP. Buôn Ma Thuột (cũ) cho Trung tâm Da liễu quản lý, sử dụng</t>
  </si>
  <si>
    <t>Xây dựng khu nhà ở thương mại hiện đại gắn kết với hệ thống hạ tầng kỹ thuật, hạ tầng xã hội với khu vực và các dự án lân cận</t>
  </si>
  <si>
    <t>Đầu tư xây dựng khu đô thị kết hợp thương mại dịch vụ và thể thao; đồng bộ về nhà ở; thương mại dịch vụ, thể thao với công trình hạ tầng kỹ thuật, hạ tầng xã hội và các công trình khác phục vụ nhu cầu ở (công trình thương mại dịch vụ; thể thao, công trình công cộng, cảnh quan...).</t>
  </si>
  <si>
    <t xml:space="preserve">xã Krông Búk; xã Cư Pơng và xã Ea Khăl; </t>
  </si>
  <si>
    <t>xã Ô Loan</t>
  </si>
  <si>
    <t>xã Xuân Lãnh</t>
  </si>
  <si>
    <t>Quyết định số 1747/QĐ-TTg, ngày 30/12/2023 của Thủ Tướng Chính phủ
Quyết định 1362/QĐ-UBND ngày 20/6/2025 của UBND tỉnh về việc phê duyệt Điều chỉnh Quy hoạch sử dụng đất đến năm 2030 huyện Ea H'leo, tỉnh Đắk Lắk (cũ)</t>
  </si>
  <si>
    <t>Quyết định 190/QĐ-UBND 14/02/2024 của UBND tỉnh Phú Yên (cũ) Đề án tổng thể phát triển ngành nuôi trồng thủy sản trên địa bàn tỉnh giai đoạn 2021 - 2025, định hướng đến năm 2030 (Số thứ tự 7, Mục II, phụ XVII   )</t>
  </si>
  <si>
    <t xml:space="preserve"> - Quy hoạch sử dụng đất đến năm 2030 huyện Krông Năng (cũ) được UBND tỉnh phê duyệt tại Quyết định số 1104/QĐ-UBND ngày 13/5/2022, khu đất thuộc quy hoạch đất nông nghiệp công nghệ cao (NKH - 152.28 ha), đất giao thông, thủy lợi (DGT, DTL - 22.37 ha), đất sản xuất kinh doanh (SKC -  64.7 ha)
 - Đã cập nhật vị trí dự án vào Quy hoạch chung xây dựng xã giai đoạn 2021 đến 2035 (đang xin ý kiến Sở Xây dựng để Quyết định phê duyệt).
- Dự án thuộc danh mục do Hội đồng nhân dân cấp tỉnh chấp thuận mà phải thu hồi đất được quy định tại điểm b khoản 3 Điều 62 Luật Đất đai.</t>
  </si>
  <si>
    <t>Quyết định số 1747/QĐ-TTG ngày 30/12/2023 của Thủ tướng Chính Phủ phê duyệt Quy hoạch tỉnh Đắk Lắk thời kỳ 2021 - 2030, tầm nhìn đến năm 2050; 
Quy hoạch sử dụng đất đến năm 2030 của huyện Krông Pắc (cũ) được UBND tỉnh phê duyệt tại Quyết định số 1960/QĐ-UBND ngày 31/8/2022.</t>
  </si>
  <si>
    <t>-Quyết định số 1747/QĐ-TTG ngày 30/12/2023 của Thủ tướng Chính Phủ; Quyết định số 876/QĐ-UBND ngày 11/5/2023 của UBND tỉnh Đắk Lắk (cũ) về việc phê duyệt quy hoạch sử dụng đất đến năm 2030 Tp.Buôn Ma Thuột, thuộc quy hoạch đất trồng câu lâu năm, đất nuôi trồng thủy sản, đất giao thông 
Sân golf hồ Ea Kao đã được UBND tỉnh phê duyệt đồ án Quy hoạch phân khu xây dựng tỷ lệ 1/2000 Khu Sân golf hồ Ea Kao, thành phố Buôn Ma Thuột tại Quyết định 249/QĐ-UBND ngày 07/02/2020. Trên cơ sở Quy hoạch phân khu được duyệt và UBND thành phố đã phê duyệt Quy hoạch chi tiết tỷ lệ 1/500 tại Quyết định 4810/QĐ-UBND ngày 10/7/2020</t>
  </si>
  <si>
    <t>Quyết định số 1422/QĐ-UBND ngày 31/3/2023 của UBND xã  phê duyệt Quy hoạch chung xây dựng xã</t>
  </si>
  <si>
    <t>Đường Trần Cảnh, Phường Buôn Hồ</t>
  </si>
  <si>
    <t>Khu vực đất thu hồi chủ yếu nằm trong khu vực đất trồng cây nông nghiệp, việc đền bù nhà, vật kiến trúc khá ít (Khu vực 3,61 Ha giai đoạn 1 có 04 nhà dân, khu vực 2,95 Ha giai đoạn 2 có 01 nhà dân)</t>
  </si>
  <si>
    <t>Điều chỉnh Quy hoạch sử dụng đất đến năm 2030 của huyện Buôn Đôn được UBND tỉnh Đắk Lắk (cũ)  phê duyệt tại Quyết định số 1376/QĐ-UBND ngày 20/6/2025</t>
  </si>
  <si>
    <t>- Đã có trong Quy hoạch sử dụng đất đến năm 2030 của huyện Cư Mgar được UBND tỉnh Đắk Lắk (cũ) phê duyệt tại Quyết định 1361/QĐ-UBND ngày 20/6/2025.
- Quy hoạch xây dựng: Phù hợp Quy hoạch chung thị trấn Quảng Phú đến năm 2025 tầm nhìn đến 2035 được UBND tỉnh phê duyệt tại Quyết định số 372/QĐ-UBND ngày 02/02/2016; Quy hoạch chi tiết tỷ lệ 1/500 được UBND tỉnh phê duyệt tại Quyết định số 04/QĐ-UBND ngày 03/01/2023.</t>
  </si>
  <si>
    <t>- Điều chỉnh quy hoạch sử dụng đất đến năm 2030 của thành phố Tuy Hòa (cũ) được duyệt (tại Quyết định số 84/QĐ-UBND ngày 23/01/2025 của UBND tỉnh).
- Quy hoạch chung thành phố Tuy Hòa và khu vực phụ cận, tỉnh Phú Yên đến năm 2040 được duyệt (tại Quyết định số 996/QĐ-UBND ngày 22/7/2024 của UBND tỉnh).</t>
  </si>
  <si>
    <t>- Điều chỉnh quy hoạch sử dụng đất đến năm 2030 của thị xã Đông Hòa (cũ) được duyệt (tại Quyết định số 1349/QĐ-UBND ngày 09/10/2024 của UBND tỉnh).
- Đồ án điều chỉnh Quy hoạch chung xây dựng Khu kinh tế Nam Phú Yên, tỉnh Phú Yên đến năm 2040 được duyệt (tại Quyết định số 1226/QĐ-TTg ngày 24/10/2023 của Thủ tướng Chính phủ).
- Đồ án quy hoạch chung xây dựng huyện lỵ Hòa Vinh, huyện Đông Hòa (nay là phường Đông Hòa) được duyệt tại Quyết định số 1501/QĐ-UBND ngày 27/9/2006 của UBND tỉnh</t>
  </si>
  <si>
    <t>- Xây dựng mới tuyến cáp quang biển quốc tế và trạm cập bờ (CLS) 
- Thiết lập các trung tâm dữ liệu thông tin gần Trạm cập bờ để cung cấp năng lực cho các đơn vị cung cấp dịch vụ điện toán đám mây của Việt Nam và Quốc tế.
- Cung cấp điện năng tái tạo cho trạm cập bờ, trung tâm dữ liệu và các khu vực khác.</t>
  </si>
  <si>
    <t xml:space="preserve"> Quy hoạch chung xây dựng Khu kinh tế Nam Phú Yên đến năm 2040 (tại Quyết định số 1226/QĐ-TTg ngày 24/10/2023 của Thủ tướng Chính phủ).</t>
  </si>
  <si>
    <t>- 'Đã có trong phương án phát triển dịch vụ du lịch, vui chơi, giải trí, sân gold tỉnh Đắk Lắk thời kỳ 2021-2030 được Thủ tướng phê duyệt tại QĐ 1747/QĐ-TTg ngày 30/12/2023; 
- Đã cập nhập vào QHSDĐ đến năm 2030 và QH xây dựng đến năm 2035 được phê duyệt tại QĐ Quyết định số 1790/QĐ-UBND ngày 10/8/2022 của UBND tỉnh; điều chỉnh tại Quyết định 1398/QĐ-UBND ngày 24/6/2025- Đã cập nhập quy hoạch chung xây dựng xã phê duyệt tại QĐ 1715/QĐ-UBND ngày 24/4/2023; điều chỉnh tại Quyết định số 2582/QĐ-UBND ngày 06/6/2025 của UBND huyện Lắk (cũ): vị trí khu đất thuộc quy hoạch đất thể thao</t>
  </si>
  <si>
    <t>Đã có trong phương án phát triển dịch vụ du lịch, vui chơi, giải trí, sân gold tỉnh Đắk Lắk thời kỳ 2021-2030 được Thủ tướng phê duyệt tại QĐ 1747/QĐ-TTg ngày 30/12/2023; 
- Đã cập nhập vào QHSDĐ đến năm 2030 và QH xây dựng đến năm 2035 được phê duyệt tại QĐ Quyết định số 1790/QĐ-UBND ngày 10/8/2022 của UBND tỉnh; điều chỉnh tại Quyết định 1398/QĐ-UBND ngày 24/6/2025,
- Quyết định 1758/QĐ-UBND, ngày 31/7/2014 của UBND tỉnh Đắk Lắk về việc điều chỉnh quy hoạch xây dựng thị trấn Liên Sơn, huyện Lắk, tỉnh Đắk Lắk đến năm 2020; điều chỉnh tại Quyết định 1660/QĐ-UBND ngày 06/6/2024
- Quyết định 3124/QĐ-UBND, ngày 01/12/2011 của UBND tỉnh Đắk Lắk về việc phê duyệt quy hoạch phân khu tỷ lệ 1/2000 Khu du lịch Hồ Lắk; vị trí QH là đất dịch vụ, du lịch</t>
  </si>
  <si>
    <t>Quyết định số 1709/QĐ-UBND ngày 01/7/2004 của UBND tỉnh (1/2000)</t>
  </si>
  <si>
    <t>- Quy hoạch sử dụng đất đến năm 2030 của huyện Krông Pắc (cũ) được UBND tỉnh phê duyệt tại Quyết định số 1097/QĐ-UBND ngày 20/5/2025, khu đất thuộc quy hoạch đất ở và đất sản xuất kinh doanh.
- Kế hoạch phát triển nhà ở: Đã đăng ký trong Kế hoạch phát triển nhà ở tỉnh Đắk Lắk được UBND tỉnh phê duyệt tại Quyết định số 703/QĐ-UBND ngày 05/03/2024.</t>
  </si>
  <si>
    <t xml:space="preserve"> Quyết định số 1323/QĐ-UBND ngày 17/5/2025 của UBND tỉnh Đắk Lắk (cũ) Về việc phê duyệt Điều chỉnh Quy hoạch sử dụng đất đến năm 2030 huyện Krông Búk, tỉnh Đắk Lắk.</t>
  </si>
  <si>
    <t>- Đã cập nhập vào QHSDĐ đến năm 2030 và QH xây dựng đến năm 2035 được phê duyệt tại QĐ Quyết định số 1790/QĐ-UBND ngày 10/8/2022 của UBND tỉnh; điều chỉnh tại Quyết định 1398/QĐ-UBND ngày 24/6/2025
- Quyết định 1758/QĐ-UBND, ngày 31/7/2014 của UBND tỉnh Đắk Lắk về việc điều chỉnh quy hoạch xây dựng thị trấn Liên Sơn, huyện Lắk, tỉnh Đắk Lắk đến năm 2020; điều chỉnh tại Quyết định 1660/QĐ-UBND ngày 06/6/2024</t>
  </si>
  <si>
    <t>-Đã cập nhập vào QHSDĐ đến năm 2030 và QH xây dựng đến năm 2035 được phê duyệt tại QĐ Quyết định số 1790/QĐ-UBND ngày 10/8/2022 của UBND tỉnh; điều chỉnh tại Quyết định 1398/QĐ-UBND ngày 24/6/2025
- Quyết định 1758/QĐ-UBND, ngày 31/7/2014 của UBND tỉnh Đắk Lắk về việc điều chỉnh quy hoạch xây dựng thị trấn Liên Sơn, huyện Lắk, tỉnh Đắk Lắk đến năm 2020; điều chỉnh tại Quyết định 1660/QĐ-UBND ngày 06/6/2024</t>
  </si>
  <si>
    <t>Đất hộ gia đình cá nhân được địa phương xác nhận sử dụng ổn định: đất trồng cây hàng năm khác 1ha; đất trồng lúa 8,52ha; đất trồng cây lâu năm 0,5ha</t>
  </si>
  <si>
    <t>Đất hộ gia đình cá nhân được địa phương xác nhận sử dụng ổn định: Đất trồng cây hàng năm 2ha; đất trồng lúa 8,22 ha</t>
  </si>
  <si>
    <t>Quyết định số 1824/QĐ-UBND ngày 26/12/2024 của UBND tỉnh (cũ) phê duyệt điều chỉnh Quy hoạch sử dụng đất đến năm 2030 của huyện Phú Hòa;
Quyết định số 512/QĐ- UNBD ngày 18/01/2023 của UBND huyện Phú Hòa (quy hoạch 1/500)</t>
  </si>
  <si>
    <t>Quyết định số 1824/QĐ-UBND ngày 26/12/2024 của UBND tỉnh (cũ) phê duyệt điều chỉnh Quy hoạch sử dụng đất đến năm 2030 của huyện Phú Hòa; 
Quyết định số 3813/QĐ-UNBD ngày 23/8/2022 của UBND huyện Phú Hòa (quy hoạch 1/500)</t>
  </si>
  <si>
    <t xml:space="preserve"> UBND huyện Cư M’gar (cũ) phê duyệt Quy hoạch chi tiết tỷ lệ 1/500 tại Quyết định số 971/QĐ-UBND ngày 17/3/2022. Dự án đã phù hợp với Quy hoạch chung xây dựng nông thôn mới đến năm 2020 của xã Ea Kpam và xã Cư M’gar tại Quyết định số 727/QĐ-UBND và Quyết định số 728/QĐ-UBND ngày 09/9/2019 của UBND huyện Cư M’gar; quy hoạch chung xây dựng xã Ea Kpam và xã Cư M’gar đến năm 2035 tại Quyết định số 3867/QĐ-UBND ngày 17/11/2022 và Quyết định số 3452/QĐ-UBND ngày 13/10/2022 của UBND huyện Cư M’gar.
Hiện nay, HĐND xã Cư M’gar đã ban hành Nghị quyết số 11/NQ-HĐND ngày 19/8/2025 về việc thông qua đề xuất chủ trương đầu tư lập Đồ án: Điều chỉnh cục bộ Quy hoạch chung xây dựng xã Cư M’gar, tỉnh Đắk Lắk đến năm 2035. UBND xã đang tiến hành lập đồ án điều chỉnh cục bộ Quy hoạch chung xây dựng xã Cư M’gar đến năm 2035</t>
  </si>
  <si>
    <t>- Quy hoạch sử dụng đất đến năm 2030 của huyện Krông Búk được UBND tỉnh phê duyệt tại Quyết định số 1323/QĐ-UBND ngày 17/6/2025, khu đất thuộc quy hoạch đất ở.
 - Quy hoạch xây dựng: Quyết định số 12/QĐ-UBND ngày 04/01/2010 của UBND tỉnh phê duyệt quy hoạch chi tiết Khu trung tâm đô thị cơ quan hành chính huyện Krông Búk.
 - Chương trình phát triển nhà ở: Đã đăng ký trong Chương trình phát triển đô thị toàn tỉnh Đắk Lắk giai đoạn đến năm 2030 được UBND tỉnh phê duyệt tại Quyết định số 903/QĐ-UBND ngày 15/4/2022.
 -Kế hoạch phát triển nhà ở: Dự án đã đăng ký trong Kế hoạch phát triển nhà ở tỉnh Đắk Lắk giai đoạn 2021 - 2025 và năm 2024 được UBND tỉnh phê duyệt tại Quyết định số 703/QĐ-UBND ngày 05/3/2024.</t>
  </si>
  <si>
    <t>Quyết định số 1747/QĐ-TTg ngày 30/12/2023 của Thủ tướng Chính phủ về việc phê duyệt quy hoạch tỉnh Đắk Lắk thời kỳ 2021- 2023, tầm nhìn đến năm 2050; phù hợp Quy hoạch sử dụng đất tại Quyết định số 1323/QĐ-UBND ngày 17/6/2025 của UBND tỉnh Đắk Lắk về việc phê duyệt Điều chỉnh Quy hoạch sử dụng đất đến năm 2030 huyện Krông Búk, tỉnh Đắk Lắk (cũ)
Quyết định số 2082/QĐ-UBND ngày 31/7/2024 của UBND tỉnh Đắk Lắk (cũ) về việc ban hành Danh mục dự án trọng điểm thu hút đầu tư của tỉnh đến năm 2025</t>
  </si>
  <si>
    <t>Quyết định số 1747/QĐ-TTg ngày 30/12/2023 của Thủ tướng Chính phủ về việc phê duyệt Quy hoạch tỉnh Đắk Lắk thời kỳ 2021-2030 tầm nhìn đến năm 2050; Quyết định số 1159/QĐ-UBND ngày 29/5/2025 của UBND tỉnh về việc phê duyệt Điều chỉnh Quy hoạch sử dụng đất đến năm 2030 huyện M'Drắk, tỉnh Đắk Lắk; 
- Quyết định số 2082/QĐ-UBND ngày 31/7/2024 của UBND tỉnh Đắk Lắk (cũ) về việc ban hành Danh mục dự án trọng điểm thu hút đầu tư của tỉnh đến năm 2025</t>
  </si>
  <si>
    <t>Quyết định 190/QĐ-UBND 14/02/2024 của UBND tỉnh Phú Yên (cũ) Đề án tổng thể phát triển ngành nuôi trồng thủy sản trên địa bàn tỉnh giai đoạn 2021 - 2025, định hướng đến năm 2030 (Số thứ tự 36, Mục II, phụ XVII   )</t>
  </si>
  <si>
    <t>100MW</t>
  </si>
  <si>
    <t>50MW</t>
  </si>
  <si>
    <t>80MW</t>
  </si>
  <si>
    <t>75MW</t>
  </si>
  <si>
    <t>82MW</t>
  </si>
  <si>
    <t>15MW</t>
  </si>
  <si>
    <t>30MW</t>
  </si>
  <si>
    <t>Sẽ được bổ sung sau khi kết thúc việc lập  Báo cáo nghiên cứu tiền khả thi và có Quyết định phê duyệt thông tin các dự án</t>
  </si>
  <si>
    <t>Sẽ được bổ sung sau khi kết thúc việc lập Báo cáo nghiên cứu tiền khả thi và có Quyết định phê duyệt thông tin các dự án</t>
  </si>
  <si>
    <t>Khu dân cư mới phía Tây Quốc lộ 1</t>
  </si>
  <si>
    <t xml:space="preserve"> Khu dân cư mới xã Hòa An</t>
  </si>
  <si>
    <t>Khu nhà ở tại lô đất ký hiệu 5 phía Đông, đường Hùng Vương (đoạn từ đường Trần Hào-đường số 14)</t>
  </si>
  <si>
    <t>Nhà ở xã hội (Khu đất ký hiệu C1, C2, C3)</t>
  </si>
  <si>
    <t>Nhà ở xã hội (Khu đất ký hiệu OCC)</t>
  </si>
  <si>
    <t>Nhà ở xã hội (Khu đất ký hiệu XH-1)</t>
  </si>
  <si>
    <t>Nhà ở xã hội (Khu đất ký hiệu XHCC)</t>
  </si>
  <si>
    <t>Nhà ở xã hội (Khu đất ký hiệu N14)</t>
  </si>
  <si>
    <t>Nhà ở xã hội (Khu đất ký hiệu LK-8, TDC-1 và TDC-2)</t>
  </si>
  <si>
    <t>Nhà ở xã hội (Khu đất ký hiệu DO CC-02)</t>
  </si>
  <si>
    <t>Nhà ở xã hội (Khu đất ký hiệu C-C)</t>
  </si>
  <si>
    <t>Nhà ở xã hội (Khu đất ký hiệu XH) thuộc Đồ án quy hoạch Khu đô thị mới Hòa Hiệp Bắc.</t>
  </si>
  <si>
    <t>Đầu tư xây dựng và kinh doanh kết cấu hạ tầng Khu công nghiệp Hòa Tâm - Giai đoạn 2</t>
  </si>
  <si>
    <t xml:space="preserve"> Đầu tư xây dựng và kinh doanh kết cấu hạ tầng Khu công nghiệp Hòa Xuân Tây</t>
  </si>
  <si>
    <t>Đầu tư xây dựng và kinh doanh kết cấu hạ tầng Khu công nghiệp Hòa Xuân Đông</t>
  </si>
  <si>
    <t xml:space="preserve"> Đầu tư xây dựng và kinh doanh hạ tầng Cụm công nghiệp Soi Nga</t>
  </si>
  <si>
    <t>Đầu tư xây dựng và kinh doanh hạ tầng Cụm công nghiệp Nam Bình 1</t>
  </si>
  <si>
    <t xml:space="preserve"> Đầu tư xây dựng và kinh doanh hạ tầng kỹ thuật Cụm công nghiệp Ea Trang</t>
  </si>
  <si>
    <t xml:space="preserve"> Đầu tư xây dựng và kinh doanh hạ tầng Cụm công nghiệp Krông Búk 2</t>
  </si>
  <si>
    <t xml:space="preserve"> Đầu tư xây dựng và kinh doanh hạ tầng Cụm công nghiệp phía bắc Ea H'Leo</t>
  </si>
  <si>
    <t>III</t>
  </si>
  <si>
    <t>LĨNH VỰC CÔNG NGHỆ THÔNG TIN (01 DA; 2.450 TỶ)</t>
  </si>
  <si>
    <t>Khu dân cư thôn 15 xã M'Drắk</t>
  </si>
  <si>
    <t>Xã M'Drắk</t>
  </si>
  <si>
    <t>Đất hộ gia đình cả nhân khai hoang sử dụng ổn đinh</t>
  </si>
  <si>
    <t>Đất trồng cây hàng năm, lâu năm và đất rừng</t>
  </si>
  <si>
    <t>Quyết định 1159/QĐ-UBND ngày 29/05/2025 của UBND Tinh về phê duyệt QHSDĐ đến năm 2032</t>
  </si>
  <si>
    <t>Khu Chăn nuôi ứng dụng công nghệ cao</t>
  </si>
  <si>
    <t>Xã Ea Wer</t>
  </si>
  <si>
    <t>Nhà nước quản lý và người dân đang sử dụng</t>
  </si>
  <si>
    <t>Tổ hợp dự án chăn nuôi trên nhà tầng (9 tầng) và kết hợp năng lượng tái tạo</t>
  </si>
  <si>
    <t>Hệ thống giao thông đảm bảo</t>
  </si>
  <si>
    <t xml:space="preserve">Dự án nông nghiệp </t>
  </si>
  <si>
    <t>Đất do UBND xã quản lý</t>
  </si>
  <si>
    <t>đất trống và đất đang trồng cây ngắn ngày</t>
  </si>
  <si>
    <t>400 ha</t>
  </si>
  <si>
    <t>Giáp QL 29,  cách đường điện 110kv khoảng 3,9 km</t>
  </si>
  <si>
    <t>Đất trồng cây nông nghiệp</t>
  </si>
  <si>
    <t>20 ha</t>
  </si>
  <si>
    <t>Giáp QL 29,  cách đường điện 110kv khoảng 3,2 km</t>
  </si>
  <si>
    <t>Đất thu hồi công ty TNHH Anh Quốc và giao UBND xã quản ly</t>
  </si>
  <si>
    <t>Đất sạch, đã GPMB</t>
  </si>
  <si>
    <t>136 ha</t>
  </si>
  <si>
    <t xml:space="preserve">Đầu tư nông nghiệp, lâm nông kết hợp trồng dược liệu </t>
  </si>
  <si>
    <t>803,74</t>
  </si>
  <si>
    <t>UBND xã quản lý</t>
  </si>
  <si>
    <t>người dân xâm canh làm hoa màu</t>
  </si>
  <si>
    <t>trồng cây nông, lâm nghiệp kết hợp trồng cây dược liệu</t>
  </si>
  <si>
    <t>đường đi huyện Ea H'Leo (cũ), chưa có điện</t>
  </si>
  <si>
    <t xml:space="preserve"> Trồng cây nông nghiệp và cây dược liệu </t>
  </si>
  <si>
    <t>tiểu khu 207 huộc xã Cư Kbang (cũ) nay là xã Ea Rốk.</t>
  </si>
  <si>
    <t>trồng cây nông nghiệp và cây dược liệu</t>
  </si>
  <si>
    <t xml:space="preserve">Sản xuất Nông nghiệp, trồng cây dược liệu </t>
  </si>
  <si>
    <t xml:space="preserve">Đầu tư nông nghiệp, lâm nông kết hợp trồng cây dược liệu </t>
  </si>
  <si>
    <t>trồng cây nông, lâm nghiệp và cây dược liệu</t>
  </si>
  <si>
    <t>Xã Hòa Thịnh</t>
  </si>
  <si>
    <t>352,4</t>
  </si>
  <si>
    <t>Đất được giao cân đối theo NĐ 64/CP cho hộ gia đình cá nhân, đất UBND xã</t>
  </si>
  <si>
    <t>RPH+LUC+LUK</t>
  </si>
  <si>
    <t>Quyết định số 1726/QĐ-UBND ngày 16/12/2024 của UBND tỉnh Phú Yên về việc phê duyệt điều chỉnh QHSDĐ đến 2030 của huyện Tây Hòa</t>
  </si>
  <si>
    <t>Đường bê tông hiện hữu, đã có hệ thống hiện đấu nối, chưa có hệ thống nước tập trung</t>
  </si>
  <si>
    <t>Đất do người dân sử dụng</t>
  </si>
  <si>
    <t>Khu TMDV Đồi 500 - Xuân Phú</t>
  </si>
  <si>
    <t>xã Ea Kar</t>
  </si>
  <si>
    <t>Đất Nông nghệp</t>
  </si>
  <si>
    <t>Nhà ở liền kề, nhà ở biệt thự, đất công cộng (công cộng đô thị, đất cơ quan, trường học, y tế), cây xanh, hạ tầng kỹ thuật và giao thông</t>
  </si>
  <si>
    <t xml:space="preserve">Quyết định 1169/QĐ-UBND ngày 30/5/2025 của UBND tỉnh phê duyệt QHSD đất huyện Ea Kar đến năm 2032; QĐ QHC Nông thôn mới </t>
  </si>
  <si>
    <t>Cơ sở hạ tầng cơ bản thuận lợi</t>
  </si>
  <si>
    <t>Xã Ea Kar</t>
  </si>
  <si>
    <t>Đất do  do Nhà nước quản lý</t>
  </si>
  <si>
    <t>CLN</t>
  </si>
  <si>
    <t>Chợ đầu mối nông sản khu vực</t>
  </si>
  <si>
    <t>Quyết định 1747/QĐ-TTg phê duyệt quy hoạch tỉnh 2030, tầm nhìn đến 2050; Quyết định 1169/QĐ-UBND ngày 30/5/2025 của UBND tỉnh phê duyệt QHSD đất huyện Ea Kar đến năm 2032</t>
  </si>
  <si>
    <t>Chợ Ea Kar</t>
  </si>
  <si>
    <t>Đất do người dân sử dụng và đất do Nhà nước quản lý</t>
  </si>
  <si>
    <t>ODT,BHK,CLN,DCH</t>
  </si>
  <si>
    <t>Chợ hạng 2 (200 đến 400 điểm kinh doanh)</t>
  </si>
  <si>
    <t>Quyết định số 857/QĐ-UBND, ngày 15/04/2021 của UBND tỉnh Đắk Lắk về việc phê duyệt quy hoạch thị trấn Ea Kar đến năm 2035;  Quyết định 1169/QĐ-UBND của UBND tỉnh phê duyệt QHSD đất huyện Ea Kar đến năm 2030</t>
  </si>
  <si>
    <t>Tổ hơp công trình Trung tâm thương mại dịch vụ khu hành chính mới (gồm 3 vị trí dự án dọ trục QL26)</t>
  </si>
  <si>
    <t>Xã quản lý</t>
  </si>
  <si>
    <t>5-7 tầng</t>
  </si>
  <si>
    <t>Quyết định số 857/QĐ-UBND, ngày 15/04/2021 của UBND tỉnh Đắk Lắk về việc phê duyệt quy hoạch thị trấn Ea Kar đến năm 2035; Quyết định  số 1508/QĐ-UBND ngày 19/10/2021 của UBND tỉnh về việ phê duyệt QH chi tiết 1/500 khu hành chính mới huyện Ea Kar; Quyết định 1169/QĐ-UBND của UBND tỉnh phê duyệt QHSD đất huyện Ea Kar đến năm 2030</t>
  </si>
  <si>
    <t>Cơ sở hạ tầng thuận lợi</t>
  </si>
  <si>
    <t>Đấu giá QSDĐ</t>
  </si>
  <si>
    <t>Đường Võ Nguyên Giáp,  tại Khu dân cư phường Tân Lập (20Ha)</t>
  </si>
  <si>
    <t>Đất của hộ gia đình, cá nhân</t>
  </si>
  <si>
    <t>Quyết định số 7730/QĐ-UBND ngày 28/12/2018 của UBND thành phố Buôn Ma Thuột về phê duyệt QHCT 1/500 khu dân cư tại phường Tân Lập (20ha), thành phố Buôn Ma Thuột</t>
  </si>
  <si>
    <t>Tiếp cận đầy đủ hệ thống HTKT (Điện, nước, đường giao thông…)</t>
  </si>
  <si>
    <t>Đường Võ Nguyên Giáp, tại Khu TĐC TDP 1B, phường Tân Lập</t>
  </si>
  <si>
    <t>Thu hồi Công ty cà phê Việt Thắng giao cho Nhà nước quản lý</t>
  </si>
  <si>
    <t>Đất trống, đã GPMB</t>
  </si>
  <si>
    <t>Khu trung tâm thương mại - dịch vụ; Mật độ xây dựng 40%, số tầng 2-5 tầng, hệ số sử dụng đất 2,0 (Trong quá trình điều chỉnh QHC Buôn Ma Thuột đề nghị điều chỉnh tầng cao lên thành 12-15 tầng)</t>
  </si>
  <si>
    <t>Quyết định số 5041/QĐ-UBND ngày 29/8/2017 của UBND thành phố Buôn Ma Thuột về phê duyệt QHCT 1/500 khu tái định cư thôn 1, xã Hoà Thắng</t>
  </si>
  <si>
    <t>Khu đô thị Phú Sơn</t>
  </si>
  <si>
    <t>Xã Tuy An Đông</t>
  </si>
  <si>
    <t>Đất  do người dân sử dụng, do nhà nước quản lý</t>
  </si>
  <si>
    <t>Đất trồng lúa, hoa màu, cây lâu năm</t>
  </si>
  <si>
    <t>22.5 ha</t>
  </si>
  <si>
    <t>- Quyết định số 1823/QĐ-UBND ngày 26/12/2024 của UBND tỉnh Phú Yên về việc Phê duyệt điều chỉnh quy hoạch sử dụng đất đến năm 20230 của huyện Tuy An - Quyết định số 549/QĐ-UBND ngày 9/4/2025 của UBND tỉnh Phú Yên về việc Phê duyệt đồ án Quy hoạch chung đô thị Chí Thạnh và vùng phụ cận đến năm 2038</t>
  </si>
  <si>
    <t>Chưa được đầu tư CSHT</t>
  </si>
  <si>
    <t>Bãi đỗ xe kết hợp dịch vụ hạ tầng phục du khách và vận chuyển khách tham quan du lịch khu Danh lam thắng cảnh Quốc gia Gành Đá Đĩa</t>
  </si>
  <si>
    <t>- Quyết định số 1823/QĐ-UBND ngày 26/12/2024 của UBND tỉnh Phú Yên về việc Phê duyệt điều chỉnh quy hoạch sử dụng đất đến năm 20230 của huyện Tuy An - Quyết định số 549/QĐ-UBND ngày 9/4/2025 của UBND tỉnh Phú Yên về việc Phê duyệt đồ án Quy hoạch chung đô thị Chí Thạnh và vùng phụ cận đến năm 2035</t>
  </si>
  <si>
    <t>Nhà máy xử lý rác thải huyện Krông Búk</t>
  </si>
  <si>
    <t>Xã Krông Búk</t>
  </si>
  <si>
    <t xml:space="preserve">Đất do người dân đang sử dụng, </t>
  </si>
  <si>
    <t>canh tác cây lâu năm</t>
  </si>
  <si>
    <t>Các hạng mục phù hợp với nhà máy xử lý rác thải: Bãi chứa, nhà máy và thiết bị xử lý, hệ thống hạ tầng kỹ thuật kèm theo, ...</t>
  </si>
  <si>
    <t xml:space="preserve">Quyết định số 1323/QĐ-UBND, ngày 17/06/2025 của UBND tỉnh Đắk Lắk về việc phê duyệt Điều chỉnh Quy hoạch sử dụng đất đến năm 2030 huyện Krông Búk, tỉnh Đắk Lắk </t>
  </si>
  <si>
    <t>Đầu tư xây dựng Khu du lịch sinh thái đồng bộ về giao thông và hạ tầng kỹ thuật phù hợp với quy hoạch chung xây dựng khu vực xung quanh hồ Mỹ Lâm</t>
  </si>
  <si>
    <t>Phù hợp với Quy hoạch sử dụng đất đến năm 2030 của huyện Buôn Đôn (cũ) nay là xã Ea Wer. Được UBND tỉnh phê duyệt tại quyết định số 1376/QĐ-UBND ngày 20/6/2025.</t>
  </si>
  <si>
    <t>Xã Ea Rốk</t>
  </si>
  <si>
    <t>Khoảnh 1, 4, 5, 6, 8 TK 277, Xã Ea Súp</t>
  </si>
  <si>
    <t>Khoảnh 11, 12, 13, 14 TK 293, xã Ea Súp</t>
  </si>
  <si>
    <t>Phù hợp quyết định số 1414/QĐ-UBND ngày 24/06/2025 của UBND tỉnh về việc điều chỉnh Quy hoạch sử dụng đất huyện Ea Súp đến năm 2030. Không nằm trong Quy hoạch 3 loại rừng theo QĐ 895/QĐ-TTg ngày 24/8/2024 của Thủ tướng Chính phủ về việc phê duyệt Quy hoạch lâm nghiệp Quốc gia thời kỳ 2021-2030, tầm nhìn đến năm 2050</t>
  </si>
  <si>
    <t>Phù hợp Quyết định số 1414/QĐ-UBND ngày 24/06/2025 của UBND tỉnh về việc điều chỉnh Quy hoạch sử dụng đất huyện Ea Súp đến năm 2030. Không nằm trong Quy hoạch 3 loại rừng theo QĐ 895/QĐ-TTg ngày 24/8/2024 của Thủ tướng Chính phủ về việc phê duyệt Quy hoạch lâm nghiệp Quốc gia thời kỳ 2021-2030, tầm nhìn đến năm 2050</t>
  </si>
  <si>
    <t>căn cứ Quyết định số 1414/QĐ-UBND ngày 24/06/2025 của UBND tỉnh về việc điều chỉnh Quy hoạch sử dụng đất huyện Ea Súp đến năm 2030, dự án cơ bản phù hợp (trừ diện tích kênh, mương, đường giao thông)</t>
  </si>
  <si>
    <t>Đất người dân đang sử dụng</t>
  </si>
  <si>
    <t>xã Cư Prơng; xã Prơng Drang; xã Ea Tul</t>
  </si>
  <si>
    <t>Nhà máy điện gió Krông Năng 1.1; 1.2</t>
  </si>
  <si>
    <t>xã Cuor Đăng; Ea Knuếc; Phường Cư Bao</t>
  </si>
  <si>
    <t>Xã Cư Prơng; xã Ea Khăl; xã Ea Kiết</t>
  </si>
  <si>
    <t>xã Vân hoà và xã Xuân Phước</t>
  </si>
  <si>
    <t>Xã Phú Hòa 2</t>
  </si>
  <si>
    <t>Xã Ea M’Droh, tỉnh Đắk Lắk</t>
  </si>
  <si>
    <t>Đất Nông lâm trường hiện tại thuộc quyền sử dụng các hộ dân</t>
  </si>
  <si>
    <t>Người dân đang sử dụng trồng cây lâu năm, cây hàng năm</t>
  </si>
  <si>
    <t>xây dựng nhà máy điện mặt trời VK-100MWp</t>
  </si>
  <si>
    <t>Đồ án quy hoạch chung xây dựng xã Ea M’Droh, huyện Cư M’gar, tỉnh Đắk Lắk đến năm 2035 đã được phê duyệt (tại quyết định số 3150/QĐ-UBND ngày 26/9/2022)</t>
  </si>
  <si>
    <t>Khu tổ hợp chăn nuôi ứng dụng công nghệ cao quy mô 154 ha</t>
  </si>
  <si>
    <t>Đất nông lâm trường giao về cho huyện Cư M'gar</t>
  </si>
  <si>
    <t>Đất nông nghiệp/đất sản xuất khác (chưa có dự án đầu tư);</t>
  </si>
  <si>
    <t>Xây dựng khu tổ hợp chăn nuôi</t>
  </si>
  <si>
    <t>Xã Ea Knốp</t>
  </si>
  <si>
    <t>Đầu tư hạ tầng Khu công nghiệp Ea Kar</t>
  </si>
  <si>
    <t>Đất các hộ dân đang sử dụng canh tác.</t>
  </si>
  <si>
    <t>Đất trồng cây hàng năm và cây lâu năm,</t>
  </si>
  <si>
    <t>Xã Ea H'leo</t>
  </si>
  <si>
    <t>Đầu tư hạ tầng Khu công nghiệp Ea H'leo</t>
  </si>
  <si>
    <t>Đầu tư hạ tầng Khu công nghiệp M'Drắk</t>
  </si>
  <si>
    <t>xã Krông Á</t>
  </si>
  <si>
    <t>Đất do Công ty TNHH MTV Lâm nghiệp M'Drắk quản lý</t>
  </si>
  <si>
    <t>Đất trồng cây hàng năm và cây lâu năm, khu dân cư</t>
  </si>
  <si>
    <t>Công văn số 09731/UBND-CNXD ngày 16/12/2025 của UBND tỉnh về việc quy hoạch phân khu các Khu công nghiệp: Ea H'leo, Ea Kar, M'Drắk và Hòa Phú (mở rộng)</t>
  </si>
  <si>
    <t>Xã Hòa Phú</t>
  </si>
  <si>
    <t>Đầu tư hạ tầng Khu công nghiệp Hòa Phú mở rộng</t>
  </si>
  <si>
    <t>Đầu tư hạ tầng Khu đô thị dịch vụ Hòa Phú</t>
  </si>
  <si>
    <t>Đất đã đền bù (đất sạch)</t>
  </si>
  <si>
    <t>431 tỷ</t>
  </si>
  <si>
    <t>Căn cứ Quyết định số 560/QĐ-UBND ngày 06/02/2024 của UBND tỉnh, về việc phê duyệt nhiệm vụ quy hoạch chi tiết tỷ lệ 1/500 Khu đô thị dịch vụ Khu công nghiệp Hòa Phú, xã Hòa Phú;</t>
  </si>
  <si>
    <t>TDP Hòa Hiệp, phường Sông Cầu</t>
  </si>
  <si>
    <t xml:space="preserve"> 70,0 </t>
  </si>
  <si>
    <t>Xây dựng công trình dân dụng, hạ tầng kỹ thuật</t>
  </si>
  <si>
    <t>Quyết định số 501/QĐ-UBND ngày 28/3/2025 của UBND tỉnh Phú Yên (nay là tỉnh Đắk Lắk) về việc phê duyệt Đồ án Điều chinh quy hoạch chung đô thị thị xã Sông - Quyết định số 1218/QÐ-UBND ngày 09/9/2024 của UBND tỉnh Phú Yên (nay là tỉnh Đắk Lắk) về việc phê điều chỉnh quy hoạch sử dụng đất đến năm 2030 thị xã Sông Cầu; Quyết định 4550/QĐ-UBND ngày 21/8/2024 của UBND thị xã Sông Cầu về việc quy hoạch phân khu xã Xuân Thịnh, thị xã Sông Cầu, tỷ lệ 1/2.000</t>
  </si>
  <si>
    <t>TDP Phú Dương, Từ Nham, phường Sông Cầu</t>
  </si>
  <si>
    <t>Đất do người dân sử dụng, Đất Ban quản lý rừng phòng hộ</t>
  </si>
  <si>
    <t>Xây dựng hạ tầng kỹ thuật</t>
  </si>
  <si>
    <t>- Quyết định số 501/QĐUBND ngày 28/3/2025 của UBND tỉnh Phú Yên (nay là tỉnh Đắk Lắk) về việc phê duyệt Đồ án Điều chỉnh quy hoạch chung đô thị thị xã Sông - Quyết định số 1218/QĐUBND ngày 09/9/2024 của UBND tỉnh Phú Yên (nay là tỉnh Đắk Lắk) về việc phê duyệt Điều chỉnh quy hoạch sử dụng đất đến năm 2030 thị xã Sông Cầu</t>
  </si>
  <si>
    <t>Khu dân cư xã Cư Suê</t>
  </si>
  <si>
    <t>Xã Quảng Phú</t>
  </si>
  <si>
    <t>sẽ xác định tại thủ tục chấp thuận chủ trương đầu tư</t>
  </si>
  <si>
    <t>Đất của Công ty Cà phê Ea Pốk được Ủy ban nhân dân tỉnh cho thuê đất sử dụng theo phương án sản xuất kinh doanh của Công ty</t>
  </si>
  <si>
    <t>Phần lớn đất trong cây lâu năm (cà phê, sầu riêng, hồ tiêu…)</t>
  </si>
  <si>
    <t>Khu nhà ở mới</t>
  </si>
  <si>
    <t>- Quy hoạch sử dụng đất: Quyết định số 1361/QĐ-UBND ngày 20/6/2025 của UBND tỉnh Đắk Lắk (cũ). - Quy hoạch chung xây dựng xã Cư Suê, huyện Cư M’gar, tỉnh Đắk Lắk đến năm 2035: Quyết định số 4519/QĐ-UBND ngày 27/12/2022 của UBND huyện Cư M’gar. - Quy hoạch chi tiết xây dựng tỷ lệ 1/500 khu dân cư xã Cư Suê, huyện Cư M’gar: Quyết định số 2791/QĐUBND ngày 19/5/2025 của UBND huyện Cư M’gar. - Chương trình phát triển nhà ở tỉnh giai đoạn 2021-2030: Quyết định số 1817/QĐ-UBND ngày 20/9/2023 của UBND tỉnh Đắk Lắk (cũ)</t>
  </si>
  <si>
    <t>Thuật lợi, phạm vị ranh giới khu đất tiép giáp với đường Tỉnh lộ 8.</t>
  </si>
  <si>
    <t>Xã Cư Prao</t>
  </si>
  <si>
    <t>Đầu tư kinh doanh kết cấu hạ tầng Cụm Công nghiệp xã Cư Prao</t>
  </si>
  <si>
    <t>Đất hộ gia đình, cá nhân</t>
  </si>
  <si>
    <t>Đất hộ gia đình, cá nhân sử dụng trồng cây hàng năm, cây lâu nằm</t>
  </si>
  <si>
    <t>- Quy hoạch tỉnh Đắk Lắk thời kỳ 2021-2030, tầm nhìn đến năm 2050 tại Quyết định số 1747/QĐ-TTg ngày 30/12/2023 của Thủ tướng Chính phủ. - Quy hoạch sử dụng đất đến năm 2030 huyện M’Drắk (tại Quyết định số Quyết định 1159/QĐ-UBND, ngày 29/5/2025 của UBND tỉnh Đắk Lắk</t>
  </si>
  <si>
    <t>Nằm trên trục đường Quốc lộ Trường Sơn Đông; đường điện Trung thế</t>
  </si>
  <si>
    <t>Dự án Nông nghiệp Công nghệ cao</t>
  </si>
  <si>
    <t>Sản xuất nông nghiệp ứng dụng công nghệ cao</t>
  </si>
  <si>
    <t>Xã Tam Giang và Dliêya</t>
  </si>
  <si>
    <t>12,41</t>
  </si>
  <si>
    <t>Nhà nước giao đất, cho thuê đất</t>
  </si>
  <si>
    <t>80 MW</t>
  </si>
  <si>
    <t>Nhà ở Liên kề -(LK -01)</t>
  </si>
  <si>
    <t>Tổ dân phố 6, Khu cánh đồng 8/10, (phườngThành Nhất cũ)</t>
  </si>
  <si>
    <t xml:space="preserve"> 400-500 </t>
  </si>
  <si>
    <t>Chủ yếu đất trống, đất nông nghiệp xen kẽ đất ở, hạ tầng chưa đồng bộ</t>
  </si>
  <si>
    <t>Quyết định số 2562/QĐ-UBND ngày 16/9/2021 của UBND tỉnh Đắk LắkVề việc điều chỉnh cục bộ Quy hoạch phân khu tỷ lệ 1/2000 Khu đô thị mới (chưa đủ)</t>
  </si>
  <si>
    <t xml:space="preserve"> Khu vực chưa có hạ tầng giao thông kết nối; hệ thống điện, nước cơ bản đáp ứng, cần đầu tư hoàn thiện đồng bộ</t>
  </si>
  <si>
    <t>Trung tâm thương mại, siêu thị kinh doanh tổng hợp</t>
  </si>
  <si>
    <t>Thôn Trung Hòa, xã Sơn Hòa</t>
  </si>
  <si>
    <t>1,7ha</t>
  </si>
  <si>
    <t>Phù hợp Quy hoạch tỉnh Phú Yên (cũ) thời kỳ 2021-2030, tầm nhìn đến năm 2050 được phê duyệt tại Quyết định số 1746/QĐ-TTg ngày 30/12/2023 của Thủ tướng Chính phủ</t>
  </si>
  <si>
    <t>Khu du lịch sinh thái hồ Suối Bùn</t>
  </si>
  <si>
    <t>Đầu tư xây dựng hạ tầng khu du lịch, các công trình dịch vụ trong khu du lịch</t>
  </si>
  <si>
    <t>Đất giao 
người dân quản lý, sử dụng</t>
  </si>
  <si>
    <t>Phần lớn là đất trống, trồng lúa</t>
  </si>
  <si>
    <t xml:space="preserve">Định hướng điều 
chỉnh quy hoạch tỉnh Đăk Lăk thời kỳ 2021-2030 tầm nhìn đến năm 2050 </t>
  </si>
  <si>
    <t>Dự án Tổ hợp 
Phim trường, Du lịch sinh thái – Nông nghiệp công nghệ 
cao tại hồ Krông Búk Hạ</t>
  </si>
  <si>
    <t>Buôn Puăn B,
 Ea Phê</t>
  </si>
  <si>
    <t>89,9</t>
  </si>
  <si>
    <t>Đất đã được UBND huyện Krông Pắc thu hồi , người dân đang sử dụng</t>
  </si>
  <si>
    <t>Phần lớn là đất trống, trồng cây lâu năm và hằng.</t>
  </si>
  <si>
    <t>Xã Ea Knuếc</t>
  </si>
  <si>
    <t>Khu du lịch sinh thái điện ảnh Moonlight Land</t>
  </si>
  <si>
    <t>Đất đã thu hồi giao về cho địa phương quản lý và một phần đất của các hộ gia đình cá nhân.</t>
  </si>
  <si>
    <t>Một phần đất đang sản xuất nông nghiệp; đất trồng cây hàng năm. Mặt nước.</t>
  </si>
  <si>
    <t>Đầu tư khu du lịch.</t>
  </si>
  <si>
    <t>- Về quy hoạch, kế hoạch sử dụng đất: Theo Quyết định số 1097/QĐ-UBND ngày 20/5/2025 của UBND tỉnh Đắk Lắk về việc phê duyệt quy hoạch sử dụng đất đến năm 2030 và kế hoạch sử dụng đất năm 2025 huyện Krông Pắc, tỉnh Đắk Lắk thì diện tích đất kêu gọi đầu tư được quy hoạch đất thương mại dịch vụ (TMD);</t>
  </si>
  <si>
    <t>Cơ sở hạ tầng chưa đầu tư kết nối</t>
  </si>
  <si>
    <t>Khu du lịch sinh thái Hồ Krông Jing</t>
  </si>
  <si>
    <t>Thôn Hồ, xã Cư M'ta, Đắk Lắk</t>
  </si>
  <si>
    <t>Đất UBND xã quản lý (Quy hoạch đất TMDV)</t>
  </si>
  <si>
    <t>Mặt nước chuyên dùng</t>
  </si>
  <si>
    <t xml:space="preserve"> 27,4 ha (Xây dựng hạ tầng, kỹ thuật đảm bảo hoạt động khu du lịch)</t>
  </si>
  <si>
    <t>Quyết định số 1159/QĐ-UBND ngày 29/05/2025 của UBND tỉnh Đắk Lắk phê duyệt Điều chỉnh Quy hoạch sử dụng đất đến năm 2030 huyện M'Drắk, tỉnh Đắk Lắk</t>
  </si>
  <si>
    <t>Chưa được đầu tư cơ sở hạ tầng</t>
  </si>
  <si>
    <t>Đầu tư xây dựng và kinh doanh hạ tầng Cụm công nghiệp Dang Kang</t>
  </si>
  <si>
    <t>Đất do UBND xã quản lý và đất hộ gia đình, cá nhân sản xuất nông nghiệp</t>
  </si>
  <si>
    <t>64,26ha đất do UBND xã quản lý (đất công ty lâm nghiệp bàn giao về địa phương – đất “sạch”); 10,74ha đất sản xuất nông nghiệp của hộ gia đình, cá nhân)</t>
  </si>
  <si>
    <t>Đầu tư xây dựng và kinh doanh kết cấu hạ tầng Cụm công nghiệp, thúc đẩy phát triển ngành công nghiệp xã Dang Kang</t>
  </si>
  <si>
    <t>Quyết định số 1254/QĐ-UBND ngày 10/06/2025 của UBND tỉnh Đắk Lắk, về việc phê duyệt Điều chỉnh Quy hoạch sử dụng đất đến năm 2030 huyện Krông Bông (cũ), tỉnh Đắk Lắk</t>
  </si>
  <si>
    <t>Chi phí chuẩn bị đầu tư và giải phóng mặt bằng: 20 tỷ đồng.</t>
  </si>
  <si>
    <t>xã Đang Kang</t>
  </si>
  <si>
    <t xml:space="preserve"> xã Ea Súp</t>
  </si>
  <si>
    <t xml:space="preserve"> xã Ea Trang</t>
  </si>
  <si>
    <t xml:space="preserve"> xã Ea H'leo</t>
  </si>
  <si>
    <t xml:space="preserve">Khu đô thị tại Khu trung tâm hành chính Krông Búk </t>
  </si>
  <si>
    <t>Khu đô thị hồ trung tâm</t>
  </si>
  <si>
    <t xml:space="preserve">Khu văn hóa -Thể thao </t>
  </si>
  <si>
    <t xml:space="preserve">Trung tâm Logistics </t>
  </si>
  <si>
    <t xml:space="preserve">Sân golf hồ Lắk </t>
  </si>
  <si>
    <t>Bệnh viện đa khoa</t>
  </si>
  <si>
    <t>77 MW</t>
  </si>
  <si>
    <t>122 Km</t>
  </si>
  <si>
    <t>Đáp ứng các yêu cầu về cơ sở hạ tầng</t>
  </si>
  <si>
    <t xml:space="preserve">Đường giao thông </t>
  </si>
  <si>
    <t>Nhà ở cho lực lượng vũ trang Công an nhân dân</t>
  </si>
  <si>
    <t>1,89</t>
  </si>
  <si>
    <t>Đất Công ty TNHH MTV Cà phê Buôn Ma Thuột giao về phường Thành nhất quản lý</t>
  </si>
  <si>
    <t>Trên đất trồng cây cà phê, cây tiêu, cây ăn quả</t>
  </si>
  <si>
    <t>Khoảng 454 căn hộ nhà ở xã hội và 42 căn nhà ở thương mại thấp tầng.</t>
  </si>
  <si>
    <t>Công văn số 1125 /BCA-H02 ngày 20/3/2026 của Bộ Công An</t>
  </si>
  <si>
    <t xml:space="preserve">Tuyến cao tốc Phú Yên - Đắk Lắk </t>
  </si>
  <si>
    <t>Nhà máy điện
gió Dliêya-Krông Năng giai đoạn 1</t>
  </si>
  <si>
    <t>Nhà máy điện năng lượng mặt trời</t>
  </si>
  <si>
    <t>Đầu tư xây dựng và kinh doanh hạ tầng Khu công nghiệp</t>
  </si>
  <si>
    <t>Khu tiểu thủ công nghiệp</t>
  </si>
  <si>
    <t>Đầu tư xây dựng kết cấu hạ tầng kỹ thuật  KCN và cho các nhà đầu tư thuê  đất để thực hiện dự án đầu tư  theo quy hoạch được duyệt.</t>
  </si>
  <si>
    <t>Đầu tư sản xuất, chế biến, nông sản, lâm sản, thủy sản, hải sản tập trung</t>
  </si>
  <si>
    <t>Nhà máy chế biến các sản phẩm nông nghiệp</t>
  </si>
  <si>
    <t>Tổ hợp lọc hóa dầu</t>
  </si>
  <si>
    <t>Xã Ea Knuếch</t>
  </si>
  <si>
    <t>Khu đô thị sinh thái văn hóa du lịch dân tộc Đắk Lắk</t>
  </si>
  <si>
    <t>Khu nhà ở thương mại Trung tâm xã Liên Sơn Lắk</t>
  </si>
  <si>
    <t>Khu nhà ở thương mại Tây Nam hồ Lắk tại xã Liên Sơn Lắk</t>
  </si>
  <si>
    <t xml:space="preserve">Khu dân cư trục đường Trần Phú và khu vực ven Hồ Tân An </t>
  </si>
  <si>
    <t>Nhà ở xã hội (Khu đất ký hiệu B4)</t>
  </si>
  <si>
    <t>Chợ đầu mối Ea Kar</t>
  </si>
  <si>
    <t>Trung tâm thương mại - dịch vụ số 4</t>
  </si>
  <si>
    <t>Trung tâm thương mại - dịch vụ Số 1</t>
  </si>
  <si>
    <t>Khu phức hợp vui chơi, giải trí, nghỉ dưỡng Hồ Lắk</t>
  </si>
  <si>
    <t>Tổ hợp Khu du lịch sinh thái nghì dưỡng cao cấp Đá bàn Hồ Mỹ Lâm</t>
  </si>
  <si>
    <t>Khu du lịch dịch vụ cao cấp Bãi Từ Nham</t>
  </si>
  <si>
    <t>Trung tâm Logistics tại Đông Hòa gắn với Cảng cạn (ICD) phục vụ Cảng Vũng Rô và Cảng Bãi Gốc</t>
  </si>
  <si>
    <t>Trung tâm dữ liệu và cơ sở kết nối cáp viễn thông biển trên bờ (Data Center)</t>
  </si>
  <si>
    <t>Bệnh viện Da Liễu</t>
  </si>
  <si>
    <t>Bệnh viện Đa khoa chất lượng cao</t>
  </si>
  <si>
    <t>Bệnh viện chuyên khoa chất lượng cao</t>
  </si>
  <si>
    <t>Khu đô thị du lịch sinh thái Phú Lương;</t>
  </si>
  <si>
    <t>Đất do người dân sử dụng, do nhà nước quản lý</t>
  </si>
  <si>
    <t>Đầu tư đầy đủ hạ tầng phục vụ du lịch sinh thái kết hợp đô thị</t>
  </si>
  <si>
    <t>- Quyết định số 1823/QĐ-UBND ngày 26/12/2024 của UBND tỉnh Phú Yên về việc Phê duyệt điều chỉnh quy hoạch sử dụng đất đến năm 20230 của huyện Tuy An (Đất TMDV) - Quyết định số 549/QĐ-UBND ngày 9/4/2025 của UBND tỉnh Phú Yên về việc Phê duyệt đồ án Quy hoạch chung đô thị Chí Thạnh và vùng phụ cận đến năm 2035 (Đất cây xanh sử dụng hạn chế)</t>
  </si>
  <si>
    <t>Thuận lợi.  Đã có Nhà đầu tư Đề xuất dự án</t>
  </si>
  <si>
    <t>Trang trại chăn nuôi heo tập trung</t>
  </si>
  <si>
    <t>Xã Ea Trang</t>
  </si>
  <si>
    <t>Đất chăn nuôi tập trung theo Quyết định số 1159/QĐ-UBND ngày 29/5/2025 của UBND tỉnh V/v phê duyệt Điều chỉnh quy hoạch sử dụng đất đến năm 2030 huyện M’Drắk.</t>
  </si>
  <si>
    <t>Thuận lợi. Đã trình UBND tỉnh Chấp thuận chủ trương đầu tư</t>
  </si>
  <si>
    <t>Dự án Khu TMDV và Trường nghề Ea Ô, bệnh viện</t>
  </si>
  <si>
    <t>Thôn 10, Ea Ô</t>
  </si>
  <si>
    <t>DNNN+người dân</t>
  </si>
  <si>
    <t>Khu TMDV và Trường học</t>
  </si>
  <si>
    <t>Quyết định 1284/QĐ-UBND ngày 08/6/2022; QĐ 1169/QĐ-UBND của UBND tỉnh phê duyệt QHSD đất huyện Ea Kar đến năm 2030</t>
  </si>
  <si>
    <t>Công an tỉnh, Phường Thành Nhất</t>
  </si>
  <si>
    <t>62,34</t>
  </si>
  <si>
    <t>Đáp ứng hạ tầng kết nối (Hiện trạng hạ tầng kỹ thuật: Tiếp giáp đường Võ Nguyên Giáp trục chính đô thị, đã được đầu tư hoàn thiện. Đảm bảo kết nối hạ tầng kỹ thuật.
Kết nối giao thông: Cách trung tâm Ngã Sáu khoảng 2,5km; sân bay Buôn Ma Thuột khoảng 7,5 Km).</t>
  </si>
  <si>
    <t>- Quy hoạch sử dụng đất đến năm 2030 của thành phố Buôn Ma Thuột được UBND tỉnh Đắk Lắk (cũ) phê duyệt tại Quyết định số 876/QĐ-UBND ngày 11/5/2023.
 - Quy hoạch xây dựng: Quyết định số 539/QĐ-UBND ngày 12/3/2021 của UBND tỉnh v/v phê duyệt đồ án Quy hoạch chi tiết 1/500.
  - Kế hoạch sử dụng đất: Đăng ký trong Kế hoạch sử dụng đất năm 2024 thành phố Buôn Ma Thuột được UBND tỉnh phê duyệt tại Quyết định số 200/QĐ-UBND ngày 23/01/2024.
 - HĐND tỉnh thông qua danh mục dự án thu hồi đất (Nghị quyết số 42/NQ-HĐND ngày 07/12/2023).</t>
  </si>
  <si>
    <t>Đường giao thông thuận lợi đấu nối với đường Nguyễn Chí Thanh và đường Nguyễn Xuân Nguyên; Hệ thống điện, nước đảm bảo (Kết nối giao thông: Cách trung tâm Ngã Sáu khoảng 4,5km; sân bay Buôn Ma Thuột khoảng 9,0km).</t>
  </si>
  <si>
    <t>Đường giao thông thuận lợi; Hệ thống điện, cấp nước đảm bảo</t>
  </si>
  <si>
    <t>Đường giao thông: đấu nối vào QL 25
Hệ thống điện, nước đảm bảo điều kiện đấu nối</t>
  </si>
  <si>
    <t>Đường giao thông thuận lợi (dự án tiếp giáp với đường Mậu Thân); Hệ thống điện, cấp nước đảm bảo</t>
  </si>
  <si>
    <t>Đường giao thông: đấu nối vào QL 25 và đường ĐH 21
Hệ thống điện, nước đảm bảo điều kiện</t>
  </si>
  <si>
    <t>Khu đô thị Quốc lộ 25</t>
  </si>
  <si>
    <t>Đường giao thông: đấu nối vào QL 25 
Hệ thống điện, nước đảm bảo điều kiện</t>
  </si>
  <si>
    <t>Không thuận lợi, hiện chưa có HTKT, không đủ điều kiện đấu nối</t>
  </si>
  <si>
    <t>Không thuận lợi, hiện chư có HTKT, không đủ điều kiện đấu nối</t>
  </si>
  <si>
    <t>HTKT và GPMB: Ban QL khu kinh tế đã có dự án đầu tư công</t>
  </si>
  <si>
    <t>Phường Ea Kao</t>
  </si>
  <si>
    <t>Đường giao thông: đấu nối vào đường Mai Thị Lựu 
Hệ thống điện, nước đảm bảo điều kiện</t>
  </si>
  <si>
    <t>Chưa đầu tư hạ tầng kết nối, không đủ điều kiện đấu nối</t>
  </si>
  <si>
    <t>Đường giao thông: đấu nối vào đường Hà huy Tập
Hệ thống điện, nước đảm bảo điều kiện</t>
  </si>
  <si>
    <t>Chưa có THKT, không đủ điều kiện đấu nối</t>
  </si>
  <si>
    <t>Điểm đầu giao cắt với đường cao tốc Bắc – Nam phía Đông và điểm cuối tại QL.14, phường Buôn Hồ, tỉnh Đắk Lắk</t>
  </si>
  <si>
    <t>Tuyến đường bộ cao tốc Phú Yên - Đắk Lắk, đoạn từ cao tốc Bắc - Nam phía Đông đến Quốc lộ 14; tổng chiều dài khoảng 122km; 04 làn xe hoàn chỉnh, có làn dừng khẩn cấp liên tục, bề rộng nền đường 24,75m; tốc độ thiết kế 100km/h; bố trí 09 nút giao khác mức liên thông đảm bảo kết nối với các tuyến đường địa phương; 09 trạm thu phí không dừng và 02 trạm dừng nghỉ.</t>
  </si>
  <si>
    <t>Đầu tư xây dựng Cụm Công nghiệp Xuân Thịnh</t>
  </si>
  <si>
    <t>Đất hộ dân đang sử dụng; Trại sản xuất giống thủy sản do Trung tâm khuyến nông quản lý</t>
  </si>
  <si>
    <t>đã có đường giao thông dọc biển</t>
  </si>
  <si>
    <t>Ghi chú</t>
  </si>
  <si>
    <t>Có sơ đồ vị trí</t>
  </si>
  <si>
    <t>Giao đất bằng hình thức đấu giá</t>
  </si>
  <si>
    <t>Đất rừng sản xuất và đất trồng cây hàng năm. Đất chưa giải phóng mặt bằng</t>
  </si>
  <si>
    <t>Về hạ tầng điện, nước của Cụm công nghiệp chưa được đầu tư đồng bộ. Thuận lợi: Công ty CP cấp nước Phú Yên đang đầu tư dự án mở rộng cấp nước sinh hoạt
Về giao thông: hiện trạng quy hoạch nằm liền kề QLIA, cách phường Quy Nhơn, Gia Lai 30km; cách phường Tuy Hoà 50km; cách cao tốc đường bộ bắc - nam: 20km về phía bắc và 10km về phía nam</t>
  </si>
  <si>
    <t>Đất trồng rừng phòng hộ, rừng sản xuất, đất trồng cây lâu năm. Đất chưa giải phóng mặt bằng</t>
  </si>
  <si>
    <t>Giao đất bằng hình thức đấu thầu</t>
  </si>
  <si>
    <t>Về hạ tầng điện, nước của Cụm công nghiệp chưa được đầu tư đồng bộ. Thuận lợi: Công ty CP cấp nước Phú Yên đang đầu tư dự án mở rộng cấp nước sinh hoạt
Về giao thông: hiện trạng quy hoạch nằm giáp biển. Về giao thông cách phường Quy Nhơn, Gia Lai 40km; cách phường Tuy Hoà 60km; cách cao tốc đường bộ bắc - nam: 25km về phía bắc và 15km về phía nam</t>
  </si>
  <si>
    <t>Về thông tin lao động: giải quyết việc làm cho lực lượng lao động trong độ tuổi lao động của phường và địa phương lân cận khoảng 1.000 lao động</t>
  </si>
  <si>
    <r>
      <t xml:space="preserve">Khu trung tâm thương mại - dịch vụ; Mật độ xây dựng 60%, số tầng </t>
    </r>
    <r>
      <rPr>
        <sz val="11"/>
        <color indexed="8"/>
        <rFont val="Times New Roman"/>
        <family val="1"/>
      </rPr>
      <t>3-5 tầng, hệ số sử dụng đất 3,0 (Trong quá trình điều chỉnh QHC Buôn Ma Thuột đề nghị điều chỉnh tầng cao lên thành 12-15 tầng)</t>
    </r>
  </si>
  <si>
    <r>
      <t>Quy hoạch 
sử dụng đất:  Quyết định số 1097/QĐ-UBND ngày 20/5//2025 của UBND tỉnh Đăk Lăk. Là Đất thương mại dịch vụ (DTM)</t>
    </r>
    <r>
      <rPr>
        <sz val="11"/>
        <color indexed="8"/>
        <rFont val="Times New Roman"/>
        <family val="1"/>
      </rPr>
      <t> </t>
    </r>
  </si>
  <si>
    <r>
      <t>-</t>
    </r>
    <r>
      <rPr>
        <b/>
        <sz val="11"/>
        <rFont val="Times New Roman"/>
        <family val="1"/>
      </rPr>
      <t xml:space="preserve"> </t>
    </r>
    <r>
      <rPr>
        <sz val="11"/>
        <rFont val="Times New Roman"/>
        <family val="1"/>
      </rPr>
      <t>Nhà nước quản lý:</t>
    </r>
    <r>
      <rPr>
        <b/>
        <sz val="11"/>
        <rFont val="Times New Roman"/>
        <family val="1"/>
      </rPr>
      <t xml:space="preserve"> </t>
    </r>
    <r>
      <rPr>
        <sz val="11"/>
        <rFont val="Times New Roman"/>
        <family val="1"/>
      </rPr>
      <t>4.366m2 (đất trống 3.100m2, đất nhà máy nước: 306m2, đất giao thông 960m2).
- Người dân sử dụng:</t>
    </r>
    <r>
      <rPr>
        <b/>
        <sz val="11"/>
        <rFont val="Times New Roman"/>
        <family val="1"/>
      </rPr>
      <t xml:space="preserve"> </t>
    </r>
    <r>
      <rPr>
        <sz val="11"/>
        <rFont val="Times New Roman"/>
        <family val="1"/>
      </rPr>
      <t>101.600m2: Đất ở: 3.000m2, đất trồng cây lâu năm, hàng năm: 98.600m2; hiện trạng có khoảng 14 nhà ở cấp IV.</t>
    </r>
  </si>
  <si>
    <r>
      <rPr>
        <b/>
        <sz val="11"/>
        <rFont val="Times New Roman"/>
        <family val="1"/>
      </rPr>
      <t xml:space="preserve">- </t>
    </r>
    <r>
      <rPr>
        <sz val="11"/>
        <rFont val="Times New Roman"/>
        <family val="1"/>
      </rPr>
      <t xml:space="preserve">Nhà nước quản lý: 5,5 ha (đất nghĩa địa) </t>
    </r>
    <r>
      <rPr>
        <b/>
        <sz val="11"/>
        <rFont val="Times New Roman"/>
        <family val="1"/>
      </rPr>
      <t xml:space="preserve">
- </t>
    </r>
    <r>
      <rPr>
        <sz val="11"/>
        <rFont val="Times New Roman"/>
        <family val="1"/>
      </rPr>
      <t>Người dân đang sử dụng:</t>
    </r>
    <r>
      <rPr>
        <b/>
        <sz val="11"/>
        <rFont val="Times New Roman"/>
        <family val="1"/>
      </rPr>
      <t xml:space="preserve"> </t>
    </r>
    <r>
      <rPr>
        <sz val="11"/>
        <rFont val="Times New Roman"/>
        <family val="1"/>
      </rPr>
      <t xml:space="preserve"> trồng cây lâu năm 50,12ha; trồng cây hàng năm 29,12ha; đất trồng lúa 4,7ha</t>
    </r>
  </si>
  <si>
    <r>
      <t>-</t>
    </r>
    <r>
      <rPr>
        <b/>
        <sz val="11"/>
        <rFont val="Times New Roman"/>
        <family val="1"/>
      </rPr>
      <t xml:space="preserve"> Diện tích đất sử dụng:</t>
    </r>
    <r>
      <rPr>
        <sz val="11"/>
        <rFont val="Times New Roman"/>
        <family val="1"/>
      </rPr>
      <t xml:space="preserve"> Khoảng 328.485,4 m2.
</t>
    </r>
    <r>
      <rPr>
        <b/>
        <sz val="11"/>
        <rFont val="Times New Roman"/>
        <family val="1"/>
      </rPr>
      <t>- Công suất thiết kế:</t>
    </r>
    <r>
      <rPr>
        <sz val="11"/>
        <rFont val="Times New Roman"/>
        <family val="1"/>
      </rPr>
      <t xml:space="preserve"> 2.500 heo nái, 40 heo đực giống và 30.000 heo thịt/lứa (02 lứa/năm). 
</t>
    </r>
    <r>
      <rPr>
        <b/>
        <sz val="11"/>
        <rFont val="Times New Roman"/>
        <family val="1"/>
      </rPr>
      <t>- Quy mô kiến trúc xây dựng:</t>
    </r>
    <r>
      <rPr>
        <sz val="11"/>
        <rFont val="Times New Roman"/>
        <family val="1"/>
      </rPr>
      <t xml:space="preserve"> Xây dựng các hạng mục công trình gồm: Hệ thống chuồng trại (Chuồng heo đẻ, chuồng heo đực + phát triển hậu bị, chuồng 3 heo thịt, …), nhà quản lý, nhà điều hành hệ thống xử lý nước thải, ...; hệ thống ao hồ và cây xanh, giao thông.</t>
    </r>
  </si>
  <si>
    <r>
      <rPr>
        <b/>
        <sz val="11"/>
        <color indexed="8"/>
        <rFont val="Times New Roman"/>
        <family val="1"/>
      </rPr>
      <t>Về quy hoạch sử dụng đất:</t>
    </r>
    <r>
      <rPr>
        <sz val="11"/>
        <color indexed="8"/>
        <rFont val="Times New Roman"/>
        <family val="1"/>
      </rPr>
      <t xml:space="preserve"> Theo kết quả thẩm định của Sở Nông nghiệp và Môi trường (tại Công văn số 02396/SNNMT-CCQLĐĐ ngày 18/9/2025), Công an tỉnh (tại Công văn số 2854/CAT-ANKT ngày 04/12/2025) và UBND xã Ea Trang (tại Công văn số 402/CV-UBND ngày 31/10/2025) thì theo Hồ sơ Điều chỉnh quy hoạch sử dụng đất đến năm 2030 huyện M’Drắk (cũ) được UBND tỉnh phê duyệt (tại Quyết định số 1159/QĐ-UBND ngày 29/5/2025), vị trí đề xuất thực hiện dự án thuộc quy hoạch đất chăn nuôi tập trung, phù hợp với mục đích sử dụng đất của dự án.</t>
    </r>
  </si>
  <si>
    <r>
      <t>Đã đầu tư xây dựng giai đoạn 1 bằng phương pháp chôn lấp hợp vệ sinh</t>
    </r>
    <r>
      <rPr>
        <i/>
        <sz val="11"/>
        <rFont val="Times New Roman"/>
        <family val="1"/>
      </rPr>
      <t xml:space="preserve"> (diện tích 1,5ha)</t>
    </r>
    <r>
      <rPr>
        <sz val="11"/>
        <rFont val="Times New Roman"/>
        <family val="1"/>
      </rPr>
      <t xml:space="preserve"> có đường giao thông kết nối vào khu vực xây dựng dự án</t>
    </r>
  </si>
  <si>
    <t>Đất người dân đang sử dụng làm nông nghiệp (chưa giải phóng mặt bằng)</t>
  </si>
  <si>
    <t>Thuận lợi, kết nối đường QL 26 và QL14</t>
  </si>
  <si>
    <t>khoảng hơn 10.000 lao động thường xuyên</t>
  </si>
  <si>
    <t>Có tọa độ vị trí</t>
  </si>
  <si>
    <t>Phần lớn là đất trống, trồng cây lâu năm và hằng năm.</t>
  </si>
  <si>
    <t>Giáp Quốc lộ 29, cách đường điện 110KV khoảng 4,7 km; nối liền cửa khẩu Đắk Ruê đi Cảng Vũng Rô; Cách tỉnh lộ 1 khoảng 3km</t>
  </si>
  <si>
    <t>Có sơ đồ vị trí, có đầy đủ thông tin về lao động</t>
  </si>
  <si>
    <t>Đất do UBND xã quản lý, quỹ đất đang bị người dân xâm canh, lấn chiếm 01 phần và UBND xã đang triển khai thực hiện công tác thu hồi đất theo quy định</t>
  </si>
  <si>
    <t>Hộ gia đình, cá nhân quản lý sử dụng, chưa cấp GCNQSDĐ</t>
  </si>
  <si>
    <t>Đất trồng cà phê, hoa màu (chưa giải phóng mặt bằng)</t>
  </si>
  <si>
    <t>Gần nút giao đường giao
thông đường tránh Tây Buôn
Hồ và Quốc lộ 29, giáp Cụm
Công nghiệp Krông Búk ;
đường dây điện trung áp; Gần
trung tâm xã Pơng Drang (dân
cư, trường học, phòng khám
chữa bệnh)</t>
  </si>
  <si>
    <t xml:space="preserve"> </t>
  </si>
  <si>
    <t>Khu nhà ở đô thị,
thương mại dịch vụ
tại Hồ Vườn Ươm
xã Pơng Drang</t>
  </si>
  <si>
    <t>Cà phê, tiêu, sầu riêng,… (Đất chưa giải
phóng mặt bằng)</t>
  </si>
  <si>
    <t>Đấu thầu</t>
  </si>
  <si>
    <t>Đã có hệ thống đường giao thông liên thôn kết nối Quốc lộ 14 và Quốc lộ 29, đường dây điện trung áp, thuộc trung
tâm khu dân cư của xã Pơng
Drang</t>
  </si>
  <si>
    <t>Đầy đủ thông tin, sơ đồ</t>
  </si>
  <si>
    <t>Đất cây lâu năm, cây hàng năm, rừng sản xuất, đất ở nông thôn, đất giao thông, đất thủy lợi (chưa thực hiện giải
phóng mặt bằng)</t>
  </si>
  <si>
    <t xml:space="preserve">Khu vực đã được đầu tư hệ thống lưới điện quốc gia, nước giếng khoan, Hệ thống giao thông đường bộ khu vực tương đối
thuận lợi </t>
  </si>
  <si>
    <t>Đất ở, đất trồng cây lâu năm, cây hàng năm, rừng sản xuất (chưa được giải phóng mặt bằng)</t>
  </si>
  <si>
    <t>Đất trồng lúa (chưa thực hiện GPMB)</t>
  </si>
  <si>
    <t>Có sơ đồ, đầy đủ thông tin</t>
  </si>
  <si>
    <t>Cây lâu năm (chưa GPMB)</t>
  </si>
  <si>
    <t>Hệ thống điện
nước tại chỗ,
thuận lợi trong
việc cấp điện, cấp
thoát nước, thông
tin liên lạc</t>
  </si>
  <si>
    <t>Thôn 12, xã Ea Ô</t>
  </si>
  <si>
    <t>Đất công ty MTV 716</t>
  </si>
  <si>
    <t>Cà phê kinh doanh năm 5</t>
  </si>
  <si>
    <t>Đã đề nghị điều chỉnh trong Quy hoạch tỉnh giai đoạn 2026 - 2030, tầm nhìn đến 2050</t>
  </si>
  <si>
    <t>Giao thông thuận tiện</t>
  </si>
  <si>
    <t>Đầu tư cơ sở hạ tầng cụm công nghiệp Ea Ô (CCN Cư Elang củ)</t>
  </si>
  <si>
    <t>Thôn 6E, xã Ea Ô</t>
  </si>
  <si>
    <t>Đất công ty lâm nghiệp, đất của các hộ dân đang sử dụng</t>
  </si>
  <si>
    <t>Trồng cao su, cà phê, keo và các loại cây khác</t>
  </si>
  <si>
    <t>Được phê duyệt trong QH tỉnh, QH CCN, QH Sử dụng đất xã</t>
  </si>
  <si>
    <t>Khu công nghiệp Ea Ô</t>
  </si>
  <si>
    <t>Buôn Vân Kiều, xã Ea Ô</t>
  </si>
  <si>
    <t>Giao thông cơ bản thuận tiện</t>
  </si>
  <si>
    <t>Đầu tư các trang trại chăn nuôi</t>
  </si>
  <si>
    <t>Đất tổ chức, đất của các hộ dân đang sử dụng</t>
  </si>
  <si>
    <t>Cơ sở hạ tầng cơ bản thuận lợi (còn nhiều đường đất nhỏ chưa được đầu tư)</t>
  </si>
  <si>
    <t>Đầu tư cảng cạn, hệ thống logictis</t>
  </si>
  <si>
    <t>Thôn 6B, xã Ea Ô</t>
  </si>
  <si>
    <t>Đất người dân đang sử dụng (có khoảng 50% có giấy CNQSDĐ)</t>
  </si>
  <si>
    <t xml:space="preserve">Các hộ dân đang canh tác sản xuất nông nghiệp </t>
  </si>
  <si>
    <t>Dự án nhà máy chế biến các sản phẩm từ nông nghiệp</t>
  </si>
  <si>
    <t>Đất công ty lâm nghiệp quản lý</t>
  </si>
  <si>
    <t xml:space="preserve">Các hộ dân đang lấn chiếm canh tác sản xuất nông nghiệp </t>
  </si>
  <si>
    <t xml:space="preserve">Khu dịch vụ Logictic </t>
  </si>
  <si>
    <t>Xã  Ea Kar</t>
  </si>
  <si>
    <t>CLN,DGT</t>
  </si>
  <si>
    <t xml:space="preserve">Hạ tầng kho bãi, nhà xưởng, 
tập trung trung chuyển hàng hóa </t>
  </si>
  <si>
    <t>Dự án Trục Thương mại, điểm nhấn Hồ Ea Kar</t>
  </si>
  <si>
    <t>Ninh Thanh, 
xã Ea Kmút, xã Ea Kar</t>
  </si>
  <si>
    <t>Đất người dân đang
 sử dụng</t>
  </si>
  <si>
    <t xml:space="preserve">Khu thương mại </t>
  </si>
  <si>
    <t xml:space="preserve">Trang trại chăn nuôi heo </t>
  </si>
  <si>
    <t>Tiểu khu 195 xã Ea Rốk</t>
  </si>
  <si>
    <t>Chăn nuôi lợn</t>
  </si>
  <si>
    <t>Theo Kế hoạch sử dụng đất năm 2025 huyện Ea Súp đã được UBND tỉnh Đắk Lắk phê duyệt tại Quyết định số 965/QĐ-UBND ngày 25/4/2025 dự án trên thuộc danh mục công trình Dự án trang trại chăn nuôi heo nái 36ha- dự án kêu gọi đầu tư; Quyết định 1414/QĐ-UBND ngày 24/6/2025, thì vị trí đề xuất dự án được quy hoạch là đất: đất chăn nuôi tập trung. Dự án phù hợp quy hoạch sử dụng đất đối với diện tích đất chăn nuôi tập trung.</t>
  </si>
  <si>
    <t>Có liên kết đường giao thông</t>
  </si>
  <si>
    <t xml:space="preserve">Trang trại chăn nuôi lợn </t>
  </si>
  <si>
    <t>xã Ea Rốk</t>
  </si>
  <si>
    <t>chăn nuôi lợn</t>
  </si>
  <si>
    <t>Quyết định 1414/QĐ-UBND ngày 24/6/2025, thì vị trí đề xuất dự án được quy hoạch là đất: đất chăn nuôi tập trung. Dự án phù hợp quy hoạch sử dụng đất đối với diện tích đất chăn nuôi tập trung.</t>
  </si>
  <si>
    <t xml:space="preserve">Quyết định số 1747/QĐ-TTg ngày 30/12/2023 của Thủ tướng Chính phủ; </t>
  </si>
  <si>
    <t>1, 2, 3, 7, 8 TK 277 xã Ea SÚp</t>
  </si>
  <si>
    <t>thu hồi công ty Phú Riềng Kratie và UBND xã đang quản ly</t>
  </si>
  <si>
    <t>150 ha</t>
  </si>
  <si>
    <t>Đã có quyết định chủ trương đầu tư số 02197/QĐ-UBND ngày 1/12/2025</t>
  </si>
  <si>
    <t>Giáp đường quốc phòng, cách QL 29 khoảng 2,2km, cách đường điện 110kv khoảng 5,1 km</t>
  </si>
  <si>
    <t>Khu thương mại dịch vụ tổng hợp Hồ trung chuyển xã Ea Súp</t>
  </si>
  <si>
    <t>Hồ Trung chuyển xã 
Ea Súp</t>
  </si>
  <si>
    <t>Đất do UBND
 xã quản lý</t>
  </si>
  <si>
    <t>Phải GPMB khoảng
 0,4 ha</t>
  </si>
  <si>
    <t>18 ha</t>
  </si>
  <si>
    <t>Phù hợp Quyết định số 1414/QĐ-UBND ngày 24/06/2025</t>
  </si>
  <si>
    <t>Đảm bảo đáp ứng CSHT</t>
  </si>
  <si>
    <t>Có</t>
  </si>
  <si>
    <t>Chi cục thuê huyện cũ và phòngthông tin VH huyện cũ (Thưa 174&amp;175. tờ bản đồ 32</t>
  </si>
  <si>
    <t>Nhà cấp III, 02 tầng, hiện nay không sử dung</t>
  </si>
  <si>
    <t>Theo đề xuất quy mô của Nhà đầu tư</t>
  </si>
  <si>
    <t>Đã đưa vào điều chinh quy hoạch trung tâm thị trấn năm 2020, định hướng đến năm 2030</t>
  </si>
  <si>
    <t>Đường giao thông thuân tiên; Hệ thống đường, điện đảm bảo</t>
  </si>
  <si>
    <t>Đầu tư Cơ sở xử lý chất thải rắn huyện Cư M’gar (cũ) quy mô 10ha</t>
  </si>
  <si>
    <t>Đất nông trường hiện tại người dân đang sử dụng</t>
  </si>
  <si>
    <t>Khu đốt chất thải rắn; Khu chôn lấp tro xỉ; Khu điều hành; Đất giao thông + hạ tầng kỹ thuật; Đất cây xanh, mặt nước</t>
  </si>
  <si>
    <t>Đồ án Quy hoạch chi tiết xây dựng tỷ lệ 1/500 Cơ sở xử lý chất thải rắn huyện Cư M’Gar được phê duyệt tại quyết định số 342/QĐ-UBND ngày 03/4/2020.</t>
  </si>
  <si>
    <t>Khu 
tiểu thủ công nghiệp</t>
  </si>
  <si>
    <t>Thôn 5 xã Ea Phê</t>
  </si>
  <si>
    <t>Trường phổ thông thực hành – nghề Quốc Tế Tây Nguyên.</t>
  </si>
  <si>
    <t>Trung tâm xã Ea Knuếc, tỉnh Đắk Lắk.</t>
  </si>
  <si>
    <t>1,2 ha</t>
  </si>
  <si>
    <t>theo quy định</t>
  </si>
  <si>
    <t xml:space="preserve">Đất đã được thu hồi, đền bù GPMB </t>
  </si>
  <si>
    <t>Trung tâm phát triển quỹ đất tỉnh đang quản lý.</t>
  </si>
  <si>
    <t>Đầu tư trường THPT - Thực hành - Đào tạo nghề. 1.200-1.500 HS.</t>
  </si>
  <si>
    <t>QĐ số 1960/QĐ-UBND ngày 31/8/2022 của UBND tỉnh Đắk Lắk phê duyệt QHSDĐ huyện Krông Pắc.</t>
  </si>
  <si>
    <t>Cơ sở hạ tầng đầy đủ, đã kết nối đảm bảo.</t>
  </si>
  <si>
    <t>Phát triển du lịch thác Drai Ea H’Jie kết hợp cơ sở chăm sóc người cao tuổi</t>
  </si>
  <si>
    <t>Buôn Ea Khít</t>
  </si>
  <si>
    <t>Đất của các hộ dân</t>
  </si>
  <si>
    <t>Đất người dân đang sử dụng vào mục đích sản xuất nông nghiệp (trồng cây lâu năm, cây hàng năm, lúa)</t>
  </si>
  <si>
    <t>25ha</t>
  </si>
  <si>
    <t>Quyết định số 1363/QĐ-UBND ngày 20/6/2025 của UBND tỉnh; Quyết định số 2898/QĐ-UBND ngày 01/11/2023 của UBND huyện Cư Kuin (cũ)</t>
  </si>
  <si>
    <t>Cụm Công nghiệp Dray Bhăng</t>
  </si>
  <si>
    <t>Thôn Kim Châu</t>
  </si>
  <si>
    <t>Đất do Công ty cao su tỉnh Đắk Lắk quản lý</t>
  </si>
  <si>
    <t>Đất trồng cây Cao su của Chi nhánh Công ty cổ phần Cao su Đắk Lắk - Nông trường 19/8</t>
  </si>
  <si>
    <t>75ha</t>
  </si>
  <si>
    <t>Quyết định số 1363/QĐ-UBND ngày 20/6/2025 của UBND tỉnh; Quyết định số 2326/QĐ-UBND ngày 22/8/2023 của UBND huyện Cư Kuin (cũ)</t>
  </si>
  <si>
    <t>Thuận lợi (tiếp giáp đường tỉnh lộ 690, giáp trạm điện 110kv; có hệ thống nước sạch chạy qua..)</t>
  </si>
  <si>
    <t>Trung tâm Thương mại</t>
  </si>
  <si>
    <t>Đất người dân đang sử dụng vào mục đích sản xuất nông nghiệp (trồng cây lâu năm, cây hàng năm)</t>
  </si>
  <si>
    <t>52ha</t>
  </si>
  <si>
    <t>Quyết định số 1363/QĐ-UBND ngày 20/6/2025 của UBND tỉnh; Quyết định số 2326/QĐ-UBND ngày 22/8/2023 của UBND huyện Cư Kuin</t>
  </si>
  <si>
    <t>Đầu tư xây dựng khu dịch vụ du lịch, nhà hàng, vui chơi giải trí trên mặt nước hồ Ea Rông</t>
  </si>
  <si>
    <t>Buôn Đôn</t>
  </si>
  <si>
    <t>Mặt nước và đất nông nghiệp do các hộ dân quản lý sử dụng</t>
  </si>
  <si>
    <t>Đầu tư cơ sở hạ tầng</t>
  </si>
  <si>
    <t>QĐ 1376/QĐ-UBND ngày 20/6/2025  huyện Buôn Đôn (cũ) phê duyệt điều chỉnh QH sử dụng đất đến năm 2030; Quyết định 1248/QĐ-UBND ngày 27/3/2024 cuẩ UBND huyện Buôn Đôn (cũ) phê duyệt QH chung Xây dựng xã Krông Na giai đoạn 2021-2035</t>
  </si>
  <si>
    <t>60 tỷ</t>
  </si>
  <si>
    <t>Khu phức hợp (Du lịch sinh thái, nghỉ dưỡng; khu vui chơi giải trí).</t>
  </si>
  <si>
    <t>Đất giao trung tâm bảo tồn động vật bàn giao về địa phương quản lý</t>
  </si>
  <si>
    <t>Đất rừng và đất nông nghiệp</t>
  </si>
  <si>
    <t>Khu  nhỉ dưỡng, khu vui chơi giải trí, vườn thú,</t>
  </si>
  <si>
    <t xml:space="preserve">QĐ 1376/QĐ-UBND ngày 20/6/2025 huyện Buôn Đôn (cũ) phê duyệt điều chỉnh QH sử dụng đất đến năm 2030; </t>
  </si>
  <si>
    <t xml:space="preserve">xã Xuân Cảnh </t>
  </si>
  <si>
    <t>Đất nông nghiệp</t>
  </si>
  <si>
    <t>Đảm bảo điều kiện cơ sở hạ tầng</t>
  </si>
  <si>
    <t>Khu công nghiệp 
giai đoạn 2</t>
  </si>
  <si>
    <t>1.080ha</t>
  </si>
  <si>
    <t>Đất hộ dân và đất nhà nước quản lý</t>
  </si>
  <si>
    <t>Dự kiến bổ sung vào quy hoạch năm 2026</t>
  </si>
  <si>
    <t xml:space="preserve"> Khoảng 500 tỷ</t>
  </si>
  <si>
    <t>Hệ thống Cảng 
nước sâu xã Xuân Cảnh</t>
  </si>
  <si>
    <t>37 ha</t>
  </si>
  <si>
    <t>Đất nông nghiệp, nghĩa địa, mặt nước biển</t>
  </si>
  <si>
    <t>Khoảng 10 tỷ</t>
  </si>
  <si>
    <t>Khu dân cư phía Tây đồi Cư Hlăm (Quy mô 60ha)</t>
  </si>
  <si>
    <t>Thu hồi từ công ty cà phê Ea Pốk giao về địa phương quản lý, hiện các hộ gia đình, cá nhân đang sử dụng (đã được cấp giấy CNQSDĐ)</t>
  </si>
  <si>
    <t>Trồng cây lâu năm và có nhà ở của dân</t>
  </si>
  <si>
    <t>- Đã có trong điều chỉnh Quy hoạch sử dụng đất đến năm 2030 được duyệt tại Quyết định số 1361/QD-UBND ngày 20/6/2025 của UBND tỉnh Đắk Lắk
- Phù hợp quy hoạch chung xây dựng tại Quyết định số 3053 /QĐ-UBND ngày 15/12/2020 của UBND tỉnh Đắk Lắk về việc phê duyệt Đồ án điều chỉnh quy hoạch chung thị trấn Ea Pốk đến năm 2030.
- Quyết định số 32/QĐ-UBND ngày 22/01/2021 của UBND tỉnh về việc phê duyệt đồ án quy hoạch chi tiết xây dựng tỷ lệ 1/500 khu dân cư thị trấn Ea Pốk</t>
  </si>
  <si>
    <t>Đảm bảo điều kiện CSHT, lao động, mối liên kết vùng</t>
  </si>
  <si>
    <t>119 tỷ</t>
  </si>
  <si>
    <t>Dự án Trường Tiểu học, THCS chất lượng cao xã Quảng Phú</t>
  </si>
  <si>
    <t xml:space="preserve">đất trống và có một số công trình xây dựng trước đây Trung tâm GDNN-GDTX huyện Cư M'gar cho một số doanh nghiệp thuê làm mô hình trại thực nghiệm (đã thanh lý hợp đồng thuê) </t>
  </si>
  <si>
    <t xml:space="preserve">- Đã có trong điều chỉnh Quy hoạch sử dụng đất đến năm 2030 được duyệt tại Quyết định số 1361/QD-UBND ngày 20/6/2025 của UBND tỉnh Đắk Lắk (với diện tích quy hoạch vào mục đích đất giáo dục là 2,45 ha, diện tích còn lại thuộc quy hoạch đất ở, đất giao thông, đất cây xanh công cộng) 
- Phù hợp quy hoạch chung xây dựng tại Quyết định số 372/QĐ-UBND ngày 02/02/2016 của UBND tỉnh Đắk Lắk về việc phê duyệt quy hoạch chung xây dựng thị trấn Quảng Phú, huyện Cư M’gar, tỉnh Đắk Lắk đến năm 2025 và tầm nhìn đến năm 2035 (với diện tích quy hoạch vào mục đích đất giáo dục là 2,45 ha, diện tích còn lại thuộc quy hoạch đất ở, đất giao thông, đất cây xanh công cộng) </t>
  </si>
  <si>
    <t>1 tỷ</t>
  </si>
  <si>
    <t>Trường Mầm non, tiểu học khu vực dân cư TDP 8, xã Quảng Phú</t>
  </si>
  <si>
    <t>đất nông trường cao su Cư M'gar giao trả về địa phương quản lý</t>
  </si>
  <si>
    <t>Các hộ gia đình, cá nhân đang quản lý, sử dụng trồng cây lâu năm</t>
  </si>
  <si>
    <t>- Đã có trong điều chỉnh Quy hoạch sử dụng đất đến năm 2030 được duyệt tại Quyết định số 1361/QD-UBND ngày 20/6/2025 của UBND tỉnh Đắk Lắk
- Phù hợp quy hoạch chung xây dựng tại Quyết định số 372/QĐ-UBND ngày 02/02/2016 của UBND tỉnh Đắk Lắk về việc phê duyệt quy hoạch chung xây dựng thị trấn Quảng Phú, huyện Cư M’gar, tỉnh Đắk Lắk đến năm 2025 và tầm nhìn đến năm 2035 
- Phù hợp đồ án quy hoạch chi tiết tỷ lệ 1/500 mở rộng khu trung tâm thị trấn, khu hành chính kết hợp dịch vụ đất ở tại thị trấn Quảng Phú , huyện Cư M'gar được UBND tỉnh phê duyệt tại Quyết định số 04/QĐ-UBND ngày 03/01/2023 (được điều chỉnh tại Quyết định số 2262/QĐ-UBND ngày 29/08/2024 của UBND tỉnh Đắk Lắk)</t>
  </si>
  <si>
    <t>22,5 tỷ</t>
  </si>
  <si>
    <t xml:space="preserve">Dự án đầu tư nhà máy chế biến sâu, tinh chế Cà phê </t>
  </si>
  <si>
    <t>Tại Cụm CN Ea Ral, xã Ea Drăng</t>
  </si>
  <si>
    <t>Đất quy hoạch cụm công nghiệp do xã quản lý</t>
  </si>
  <si>
    <t>D. tích 30.000 ha, S.lượng 80.000 tấn</t>
  </si>
  <si>
    <t>10.000-20.000 tấn SP/năm</t>
  </si>
  <si>
    <t>Quyết định số 1865/QĐ-UBND ngày 17/7/2015 của UBND tỉnh Đắk Lắk về quy hoạch chi tiết 1/500 cụm công nghiệp Ea Ral</t>
  </si>
  <si>
    <t>Đầy đủ thuận lợi</t>
  </si>
  <si>
    <t xml:space="preserve"> Đầu tư hạ tầng quy hoạch chi tiết tỷ lệ 1/500 khu dân cư đô thị, trung tâm hành chính, văn hóa, thể dục, thể thao, thị trấn Ea Drăng, huyện Ea H'Leo</t>
  </si>
  <si>
    <t>Xã Ea Drăng</t>
  </si>
  <si>
    <t>Đất công ty cao su quản lý</t>
  </si>
  <si>
    <t>Đất trồng cao su; trồng cà phê và hoa màu</t>
  </si>
  <si>
    <t>Đầu tư cơ sở hạ tầng, khu nhà ở, khu trung tâm….</t>
  </si>
  <si>
    <t>QĐ số 2256/QĐ-UBND ngày 17/9/2018 cảu UBND tỉnh Đắk Lắk, về việc phê duyệt quy hoạch chi tiết tỷ lệ 1/500 Khu dân cư đô thị, trung tâm hành chính, văn hóa, thể dục, thể thao, thị trấn Ea Drăng</t>
  </si>
  <si>
    <t>Đầu tư xây dựng khu nhà nghỉ dưỡng, gắn với du lịch sinh thái nghỉ dưỡng bên cạnh quần thể Thủy tùng, hồ nước</t>
  </si>
  <si>
    <t>50-80</t>
  </si>
  <si>
    <t>500-800</t>
  </si>
  <si>
    <t>Đất NN do UBND xã và các hộ gia đình quản lý</t>
  </si>
  <si>
    <t>Đang trồng Thông, cây nông nghiệp các loại</t>
  </si>
  <si>
    <t>Đầu tư cơ sở hạ tầng, khu nhà ở….</t>
  </si>
  <si>
    <t>Đang điều chỉnh bổ sung quy hoạch chung của xã thời kỳ 2025-2030</t>
  </si>
  <si>
    <t>Đầu tư xây dựng khu nhà nghỉ dưỡng, du lịch sinh thái kết nối chuỗi du lịch nghỉ dưỡng Hồ sinh thái thị trấn EaDrăng</t>
  </si>
  <si>
    <t>D.tích mặt nước 27 ha. Đất các hộ đang trồng cây nông nghiệp các loại</t>
  </si>
  <si>
    <t>Thôn 16 xã Cư Yang</t>
  </si>
  <si>
    <t>Đất địa phương và hộ gia đình</t>
  </si>
  <si>
    <t>ONT, CLN, NHK</t>
  </si>
  <si>
    <t>44,3 ha</t>
  </si>
  <si>
    <r>
      <t xml:space="preserve">Quyết </t>
    </r>
    <r>
      <rPr>
        <sz val="11"/>
        <color theme="1"/>
        <rFont val="Times New Roman"/>
        <family val="1"/>
      </rPr>
      <t>định số 1169/QĐ-UBND ngày 30/5/2025 của UBND tỉnh Đắk Lắk</t>
    </r>
  </si>
  <si>
    <t xml:space="preserve"> Đường giao thông chưa được đầu tư. chưa có thống điện. có nguồn nước đảm bảo</t>
  </si>
  <si>
    <t>Thôn 14 xã Cư Yang</t>
  </si>
  <si>
    <t>Đất của Công ty Lâm Nghiệp và Cty lâm nghiệp trả về địa phương qua các thời kỳ và một phần Công ty Lâm Nghiệp và Cty lâm nghiệp quản lý</t>
  </si>
  <si>
    <t>CLN, NHK</t>
  </si>
  <si>
    <t>11,9 ha</t>
  </si>
  <si>
    <t xml:space="preserve"> Đường giao thông đảm bảo. có hệ thống điện. có nguồn nước đảm bảo</t>
  </si>
  <si>
    <t>Khu Thương mại dịch vụ Krông Pách Thượng, vị trí 2</t>
  </si>
  <si>
    <t>Khu Thương mại dịch vụ Krông Pách Thượng, vị trí 1</t>
  </si>
  <si>
    <t>Khu du lịch gắn với địa danh lịch sử Thác Dray Kpơr</t>
  </si>
  <si>
    <t>Buôn Trưng xã Cư Yang</t>
  </si>
  <si>
    <t>Đất Cty lâm nghiệp trả về địa phương theo Quyết định số 2211, ngày 13/9/2018 và đất thuộc của Công ty Lâm nghiệp</t>
  </si>
  <si>
    <t>CHN, LUC</t>
  </si>
  <si>
    <t>108.5ha</t>
  </si>
  <si>
    <t xml:space="preserve"> Đường giao thông chưa được đầu tư. chưa có thống điện. có nguồn nước tự nhiên đảm bảo</t>
  </si>
  <si>
    <t>Khu đô thị Nam Chí Thạnh</t>
  </si>
  <si>
    <t>Xã Tuy An Bắc</t>
  </si>
  <si>
    <t>Đất chuyên trồng
lúa nước và đất
nông nghiệp khác</t>
  </si>
  <si>
    <t xml:space="preserve">- Phù hợp Quyết định số 549/QĐ-UBND ngày 09/4/2025 của UBND tỉnh Phú Yên về việc phê duyệt đồ án Quy hoạch chung đô thị Chí Thạnh và vùng Phụ cận đến năm 2035
- phù hợp với   Quy hoạch sử dụng đất đến năm 2030 huyệnTuy An được phê duyệt điều chỉnh (tại Quyết định số 1823/QĐ-UBND ngày 26/12/2024), </t>
  </si>
  <si>
    <t>Khu động lực kết hợp
không gian ven sông Hà yến
thuộc Khu Bắc đường sắt đến giáp sông Hà Yến</t>
  </si>
  <si>
    <t>Đất chuyên trồng
lúa nước , đất ở và đất
nông nghiệp khác</t>
  </si>
  <si>
    <t>Khu đô thị Hòn Chồng</t>
  </si>
  <si>
    <t>Đất rừng sản xuất,  đất chưa sử dụng, đất nông nghiệp khác</t>
  </si>
  <si>
    <t>Khu du lịch  núi Bà</t>
  </si>
  <si>
    <t>Khu nông nghiệp ứng dụng công nghệ cao xã Tây Sơn.</t>
  </si>
  <si>
    <t>xã Tây Sơn</t>
  </si>
  <si>
    <t>185,89</t>
  </si>
  <si>
    <t>650,62</t>
  </si>
  <si>
    <t>đất do Nhà nước thu hồi của Ban Quản lý rừng phòng hộ Sơn Hòa và giao UBND cấp xã quản lý</t>
  </si>
  <si>
    <t>Đất rừng sản xuất, khu đất hiện đang bị người dân lấn chiếm, sử dụng để trồng keo;</t>
  </si>
  <si>
    <t>185,89 ha,</t>
  </si>
  <si>
    <t>Dự án dự kiến đề xuất đang được địa phương rà soát, bảo đảm đưa vào đợt lập quy hoạch xây dựng chung xã Tây Sơn trong năm 2026 để đảm bảo phù hợp với quy hoạch tỉnh, quy hoạch, kế hoạch sử dụng đất, quy hoạch xây dựng, định hướng phát triển ngành nông nghiệp có liên quan.</t>
  </si>
  <si>
    <t>chưa được đầu tư hạ tầng kỹ thuật phục vụ dự án. Hạ tầng điện, nước, đường giao
thông nội vùng sẽ được xem xét đầu tư đồng bộ khi triển khai dự án,</t>
  </si>
  <si>
    <t>Đất chưa giải phóng mặt bằng;Dự kiến khoảng
33,46 - 46,47 tỷ đồng</t>
  </si>
  <si>
    <t>Đầu tư xây dựng nhà máy sản xuất gạch không nung trên địa bàn xã Krông Ana</t>
  </si>
  <si>
    <t xml:space="preserve">thôn Sơn Trà, xã Krông Ana </t>
  </si>
  <si>
    <t>100</t>
  </si>
  <si>
    <t>cây lâu năm (CLN) và đất rừng sản xuất (RSX)</t>
  </si>
  <si>
    <t>65 (ha)</t>
  </si>
  <si>
    <t>Trong thời gian tới sẽ tcập nhật trong quá trình lập Quy hoạch xã</t>
  </si>
  <si>
    <t>Thuận lợi điện,
nước, đường giao
thông</t>
  </si>
  <si>
    <t>Đầu tư xây dựng cơ sở hạ tầng kỹ thuật cụm công nghiệp buôn Chăm (Ê Căm) xã Krông Ana</t>
  </si>
  <si>
    <t>Buôn ÊCăm, xã Krông Ana</t>
  </si>
  <si>
    <t>Đất Công ty cà phê</t>
  </si>
  <si>
    <t>Cây lâu năm</t>
  </si>
  <si>
    <t>50 (ha)</t>
  </si>
  <si>
    <t>Phù hợp với QHSDĐ đất giai đoạn 2021 - 2030; QH chung thị trấn Buôn Trấp đến năm 2035 được UBND tỉnh phê duyệt tại Quyết định số 1831/QĐ-UBND ngày 22/9/2023 (Quy hoạch đất Cụm công nghiệp)</t>
  </si>
  <si>
    <t>Về giao thông: có
đường nhựa;
Hệ thống điện: có
đường điện đi qua, đảm bảo về điện;
Về nước: có nguồn
nước tự nhiên đảm bảo</t>
  </si>
  <si>
    <t>Đất do nhà nước quản lý</t>
  </si>
  <si>
    <t>Đầu tư xây dựng hạ tầng kỹ thuật CCN Hai Riêng</t>
  </si>
  <si>
    <t>Quyết định 1424/QĐ- UBND ngày 22/10/2024 của UBND tỉnh Phú Yên (cũ) phê duyệt điều chỉnh Quy hoạch sử dụng đất đến năm 2030 huyện Sông Hinh;</t>
  </si>
  <si>
    <t>Đầu tư xây dựng và kinh doanh hạ tầng Cụm công nghiệp, Tiểu thủ công nghiệp Suối Cối, xã Phú Mỡ</t>
  </si>
  <si>
    <t>Thôn Suối Cối 1 và Suối Cối 2, Xã Phú Mỡ</t>
  </si>
  <si>
    <t>Nhà nước quản lý và người dân đang sử dụng</t>
  </si>
  <si>
    <t>Đất người dân đang sản xuất nông nghiệp</t>
  </si>
  <si>
    <t>Đầu tư kết cấu hạ tầng CCN Suối Cối, diện tích 50ha</t>
  </si>
  <si>
    <t>Phù hợp với Đồ án quy hoạch chung xây dựng xã Xuân Quang 1, huyện Đồng Xuân, tỉnh Phú Yên (cũ) được phê duyệt tại Quyết định số 2090/QĐUBND ngày 04/7/2024 của UBND huyện Đồng Xuân</t>
  </si>
  <si>
    <t>Vị trí thuận lợi, ngã ba giao đường ĐT.647 và đường ĐT.646</t>
  </si>
  <si>
    <t>Dự án chăn nuôi tập trung Đồng Hội, xã Phú Mỡ</t>
  </si>
  <si>
    <t>Thôn Đồng Hồi xã Phú Mỡ</t>
  </si>
  <si>
    <t>Khu chăn nuôi tập trung trên diện tích đất 255ha</t>
  </si>
  <si>
    <t>Hệ thống giao thông đảm bảo</t>
  </si>
  <si>
    <t>Cụm công nghiệp Đá Mài</t>
  </si>
  <si>
    <t>xã Sơn Thành</t>
  </si>
  <si>
    <t>Hộ gia đình cá nhâ, đất giao thông hiện hữu do Nhà nước quản lý; Đất Chủ đầu tư quản lý</t>
  </si>
  <si>
    <t>Phần lớn là đất trồng mía, sắn và đất giao thông</t>
  </si>
  <si>
    <t xml:space="preserve"> Uu tiên đầu tu  các dự án về chế biến các sản phầm nông nghiệp hoặc Dự án xây dựng hạ tầng kỹ thuật cụm công nghiệp</t>
  </si>
  <si>
    <t>Quyết định số 2717/QĐ-UBND ngày 08/7/2016 08/ của UBND huyện Tây 1 Hòa về việc phê duyệt đồ án Quy hoạch chỉ tiết xây dựngg tỷ lệ 1/500 dự án: Nhà máy rờng ăn kiêng, tinh bột sắn, tinh bột bắp, cồn, rượu và vườn ươm giông</t>
  </si>
  <si>
    <t>Hạ tầng kỹ thuật chưa được đầu tư đồng bộ</t>
  </si>
  <si>
    <t>Cụm công nghiệp Hòa Xuân 1 và Cụm công nghiệp Hòa Xuân 2</t>
  </si>
  <si>
    <t>Đất của công ty Dray Hling giải thể theo quyết định số 3878/QĐUBND của UBND tỉnh Đắk Lắk ngày 27/12/2016.</t>
  </si>
  <si>
    <t>Phần lớn là đất trồng cây nông nghiệp lâu năm do công ty Dray Hling giao khoán và một số nhỏ là nhà, vật kiến trúc cố định</t>
  </si>
  <si>
    <t>Xây dựng kho chế biến nông sản; Kho lạnh; Đóng gói; Logistics phục vụ nông nghiệp; Cơ khí phục vụ nông nghiệp; kinh doanh và dịch vụ phục vụ nông nghiệp.</t>
  </si>
  <si>
    <t>Quyết định số 1747/QĐTTg ngày 30/12/2023 của Thủ tướng Chính phủ về việc phê duyệt quy hoạch tỉnh Đắk Lắk thời kỳ 2021-2030, tầm nhìn đến năm 2050</t>
  </si>
  <si>
    <t>Đáp ứng cơ sở hạ tầng kết nối thuận tiện</t>
  </si>
  <si>
    <t>Chợ Hòa Phú</t>
  </si>
  <si>
    <t>Đất đã được cấp giấy chứng nhận quyền sử dụng đất của hộ dân bao gồm cả đất nông nghiệp và đất ở, một phần diện tích quy hoạch chợ</t>
  </si>
  <si>
    <t>Diện tích chợ hiện tại xã đang quản lý 5477,8m2 (khoảng 67 kiot) và khu dân cư hiện trạng chủ yếu là các công trình cấp IV, không có công trình cấp III. Có khoảng 32 nhà (28 nhà xây cấp 4 và 4 nhà tạm).</t>
  </si>
  <si>
    <t>Dự kiến 200–400 điểm kinh doanh; có tổ chức đất chợ + thương mại dịch vụ + khu ở liền kề kết hợp thương mại.</t>
  </si>
  <si>
    <t>Ngày 29/11/2023 UBND thành phố Buôn Ma Thuột ban hành quyết định phê duyệt số: 6906/QĐ-UBND về việc phê duyệt Đồ án điều chỉnh mở rộng Quy hoạch chi tiết xây dựng tỷ lệ1/500 chợ Hòa Phú, xã Hòa Phú, TP. Buôn Ma Thuột; quy mô đồ án 3,345 ha</t>
  </si>
  <si>
    <t>Khu du lịch sinh thái ven sông Sêrêpốk, Xã Hòa Phú</t>
  </si>
  <si>
    <t>Nguồn gốc đất: Các hộ dân tự khai hoang và một số được Hợp tác xã Phú Thái chia đất sản xuất</t>
  </si>
  <si>
    <t>Các hộ dân đang trực tiếp sử dụng chủ yếu vào mục đích sản xuất nông nghiệp trồng cây lâu năm và cây hàng năm</t>
  </si>
  <si>
    <t>Dự kiến quy mô đầu tư: Phát triển du lịch sinh thái ven sông Sêrêpốk</t>
  </si>
  <si>
    <t>Phù hợp với quy hoạch: Quyết định số 249/QĐTTg ngày 13/02/2014 của Thủ tướng Chính phủ phê duyệt quy hoạch chung thành phố Buôn Ma Thuột đến năm 2025.</t>
  </si>
  <si>
    <t>Điều kiện cơ sở hạ tầng: Đáp ứng cơ sở hạ tầng kết nối thuận tiện.</t>
  </si>
  <si>
    <t>LĨNH VỰC MÔI TRƯỜNG (05 DA; 1.888 TỶ)</t>
  </si>
  <si>
    <t>Trung tâm thương mại- siêu thị</t>
  </si>
  <si>
    <t>LĨNH VỰC NÔNG NGHIỆP (20 DA; 94,405 TỶ)</t>
  </si>
  <si>
    <t>LĨNH VỰC CÔNG NGHIỆP 07 DA; 167.440 TỶ)</t>
  </si>
  <si>
    <t>Thôn Kim Châu, xã Dray Bhăng</t>
  </si>
  <si>
    <t>LĨNH VỰC HẠ TẦNG GIAO THÔNG  (03 DA; 31.580 Tỷ đồng)</t>
  </si>
  <si>
    <t>Khu dân cư tập trung, đất thương mại dịch vụ, đất giáo dục, đất y tế, đất công viên cây xanh, đất giao thông nội bộ (tại cụm công nghiệp Ea Ô củ)</t>
  </si>
  <si>
    <t>Nhà máy điện gió Buôn Hồ 3 - Giai đoạn II;</t>
  </si>
  <si>
    <t>Nhà máy điện gió Krông Năng 1.4</t>
  </si>
  <si>
    <t>Nhà máy điện gió Krông Năng 1.5</t>
  </si>
  <si>
    <t>Dự án điện gió Sông Cầu 2 giai đoạn 2</t>
  </si>
  <si>
    <t>xã Xuân Thọ</t>
  </si>
  <si>
    <t>Dự án điện gió Sông Cầu 1 giai đoạn 1</t>
  </si>
  <si>
    <t>Dự án điện gió EaBar</t>
  </si>
  <si>
    <t>Điện mặt trời Ea Súp 1</t>
  </si>
  <si>
    <t>Điện mặt trời Ia Lốp 1</t>
  </si>
  <si>
    <t>xã Ia Lốp</t>
  </si>
  <si>
    <t>Nhà máy điện MT kết hợp trồng cây dược liệu, giai đoạn 1</t>
  </si>
  <si>
    <t>xã Ea H'leo</t>
  </si>
  <si>
    <t xml:space="preserve">Nhà máy ĐMT Đa Lộc Phú Yên </t>
  </si>
  <si>
    <t>xã Ea Khăl, xã Ea Kiết</t>
  </si>
  <si>
    <t>Đầu tư Khu văn hóa thể thao thị xã sẽ đồng thời hoàn thiện được mục tiêu kép là văn hóa và thể dục thể thao góp phần hoàn thiện tiêu chi đô thị loại III theo Nghị quyết số 1210/2016/UBTVQH13 ngày 25/05/2016 và Nghị quyết số 26/2022/NQ-UBTVQH15, ngày 21/9/2022 của Ủy ban Thường vụ Quốc hội. Hoàn thiện hệ thống thiết chế văn hóa, thể thao, tạo được sự đoàn kết trong cộng đồng dân cư góp phần thúc đẩy phát triển kinh tế - xã hội và quốc phòng - an ninh, xây dựng môi trường văn hóa – thể thao lành mạnh, giảm thiểu các tệ nạn xã hội. Việc đầu tư Khu văn hóa thể thao thị xã sẽ nâng cao vị thế về văn hóa – thể thao của địa phương trong khu vực, là cầu nối giúp đẩy mạnh phong trào văn hóa, thể dục – thể thao trong toàn dân</t>
  </si>
  <si>
    <t>Khu đất quy hoạch đất phát triển đô thị đã phê duyệt tại Quyết định số 621/QĐ-UBND ngày 26/02/2024 của UBND tỉnh Đắk Lắk về việc phê duyệt đồ án Điều chỉnh Quy hoạch chung thị xã Buôn Hồ, tỉnh Đắk Lắk đến năm 2045. Quy hoạch xây dựng: Quyết định số 1982/QĐ-UBND, ngày 31/8/2012 của UBND tỉnh Đắk Lắk về phê duyệt chi tiết tỷ lệ 1/500 trung tâm thể dục thể thao phía Bắc tỉnh Đắk Lắk; Vị trí theo quyết định phê duyệt thuộc phường An Bình, hiện nay đang đề xuất điều chỉnh sang vị trí mới tại đường Trần Cảnh, phường Buôn Hồ; Quy hoạch chi tiết 1/500: Chưa có. Thuộc danh mục dự án phải thu hồi đất được phê duyệt: chưa có Nghị quyết. Kế hoạch sử dụng đất năm 2024: Chưa có.</t>
  </si>
  <si>
    <t>Cơ sở hạ tầng cơ bản đảm bảo</t>
  </si>
  <si>
    <t>Sân gold Phú Hòa.</t>
  </si>
  <si>
    <t>Xã Phú Hòa 2, tỉnh Đắk Lắk</t>
  </si>
  <si>
    <t>89.95</t>
  </si>
  <si>
    <t>Đầu tư xây dựng sân golf 18 lỗ tiêu chuẩn quốc tế, gồm các hạng mục: Sân golf, cảnh quan; nhà Câu lạc bộ; sân tập golf và các công trình phụ trợ</t>
  </si>
  <si>
    <t xml:space="preserve">Khoảng 18ha đất của Công ty TNHH MTV Bảo Châu Khoảng 65,85ha đất do Công ty Green Nature Phú Yên đang quản lý và sử dụng Hơn 6ha do UBND xã Phú Hòa 2 quản </t>
  </si>
  <si>
    <t>Giao thông thuận lợi; hệ thống, điện cấp nước chưa được đầu tư</t>
  </si>
  <si>
    <t>Thỏa thuận nhận chuyển nhượng. Phù hợp với Quy hoạch sử dụng đất.</t>
  </si>
  <si>
    <t>Tổ hợp sân golf Buôn Đôn</t>
  </si>
  <si>
    <t>Đã tổ chức kiểm tra thực tế dự án. SCT đang tổ chức lấy ý kiến để đưa vào QH tỉnh điều chỉnh</t>
  </si>
  <si>
    <t>4MW</t>
  </si>
  <si>
    <t>xã Nam Ka</t>
  </si>
  <si>
    <t>Nhà máy thủy điện Chư Pông Krông mở rộng (nâng công suất từ 8MW lên 12MW)</t>
  </si>
  <si>
    <t>đất trồng cây lâu năm, cây hàng năm, đất ở, đất giao thông, thủy lợi và rừng sản xuất</t>
  </si>
  <si>
    <t>thôn Cư Klông và Tam Hợp, xã Tam Giang</t>
  </si>
  <si>
    <t xml:space="preserve"> Các vị trí dự kiến của dự án đã được quy hoạch đất năng lượng theo Quyết định số 1362/QĐ-UBND ngày 20/6/2025. Về quy hoạch xây dựng, dự án đã có trong quy hoạch chung xây dựng xã Ea Tir (cũ). </t>
  </si>
  <si>
    <t>Nhà máy ĐMT trên hồ thủy điện Ea Súp 3</t>
  </si>
  <si>
    <t>40MW</t>
  </si>
  <si>
    <t>đất trồng cây lâu năm, cây hàng năm, đất lúa, đất ở, đất giao thông, thủy lợi, nghĩa trang và rừng sản xuất</t>
  </si>
  <si>
    <t>hôn Cư Klông, xã Tam Giang</t>
  </si>
  <si>
    <t>38MW</t>
  </si>
  <si>
    <t>đang trồng cây keo và một số loại cây lâu năm khác</t>
  </si>
  <si>
    <t xml:space="preserve"> Về quy hoạch sử dụng đất, dự án đã được quy hoạch là đất năng lượng theo Quyết định số 1414/QĐ/UBND ngày 24/6/2025 của UBND tỉnh Đắk Lắk. Dự án cũng đã có trong quy hoạch xây dựng theo Quyết định số 79/QĐ-UBND ngày 24/1/2025 của UBND huyện Ea Súp (cũ). Vị trí này nằm ngoài Quy hoạch 3 loại rừng (theo Quyết định 895/QĐ-TTg). </t>
  </si>
  <si>
    <t>Hiện trạng khu vực là đất trống và rừng tự nhiên, đã được giải phóng mặt bằng.</t>
  </si>
  <si>
    <t>xã Ea Súp</t>
  </si>
  <si>
    <t xml:space="preserve"> Đã được phê duyệt QHSDĐ, chưa phù hợp quy hoạch xây dựng phát triển đô thị, nông thôn. Hiện trạng: </t>
  </si>
  <si>
    <t>Đất ở, đất trồng cây lâu năm, cây hàng năm</t>
  </si>
  <si>
    <t>xã Tam Giang, xã Dliê Ya</t>
  </si>
  <si>
    <t>Điện gió HLP Krông Năng</t>
  </si>
  <si>
    <t>xã Ea Ly, xã Ea Bá</t>
  </si>
  <si>
    <t>xã Xuân Lộc</t>
  </si>
  <si>
    <t xml:space="preserve">Đã có NĐT nộp hồ sơ đề xuất CTĐT tại STC </t>
  </si>
  <si>
    <t>Hiện trạng đang được dùng để trồng mía và trồng keo</t>
  </si>
  <si>
    <t>xã Sơn Hòa</t>
  </si>
  <si>
    <t>Nhà máy Điện mặt trời Tây Hòa 1</t>
  </si>
  <si>
    <t>Nhà máy ĐMT trên hồ thuỷ điện Srêpốk 3</t>
  </si>
  <si>
    <t>xã Ea Na</t>
  </si>
  <si>
    <t>Nhà máy ĐMT trên hồ thuỷ điện Buôn Kuốp</t>
  </si>
  <si>
    <t>55MW</t>
  </si>
  <si>
    <t>60MW</t>
  </si>
  <si>
    <t xml:space="preserve">Nhà máy điện ĐMT Tây Hòa 2 </t>
  </si>
  <si>
    <t>70MW</t>
  </si>
  <si>
    <t>Nhà máy điện ĐMT Tây Hòa 3</t>
  </si>
  <si>
    <t>Hiện trạng là đất nông nghiệp (trồng cây hàng năm, cây lâu năm) và một phần đất thương mại, dịch vụ</t>
  </si>
  <si>
    <t>phường Cư Bao, xã Ea Drông, xã Cuôr Đăng</t>
  </si>
  <si>
    <t>Điện gió Thanh Phong Giai đoạn 1</t>
  </si>
  <si>
    <t>Hiện trạng là đất trồng cây lâu năm.</t>
  </si>
  <si>
    <t>Nhà máy điện gió Thuận Phong 2,  GĐ 1</t>
  </si>
  <si>
    <t>Đã có NĐT nộp hồ sơ đề xuất CTĐT</t>
  </si>
  <si>
    <t>xã Ea Knốp, xã Cư Prao</t>
  </si>
  <si>
    <t>Nhà máy điện mặt trời nổi trên hồ thủy điện Krông H'năng</t>
  </si>
  <si>
    <t>110MW</t>
  </si>
  <si>
    <t>Thủy điện Srêpốk 3 mở rộng</t>
  </si>
  <si>
    <t xml:space="preserve">Đã có NĐT nộp hồ sơ đề xuất tại STC </t>
  </si>
  <si>
    <t>140MW</t>
  </si>
  <si>
    <t>xã Hòa Phú, xã Ea Na</t>
  </si>
  <si>
    <t>Thủy điện Buôn Kuốp mở rộng</t>
  </si>
  <si>
    <t>150MW</t>
  </si>
  <si>
    <t>Thôn 7, xã Ea H'leo</t>
  </si>
  <si>
    <t>Nhà máy điện mặt trời trên hồ thủy lợi Ea H'leo</t>
  </si>
  <si>
    <t>160MW</t>
  </si>
  <si>
    <t>Hiện trạng là đất trồng lúa, đất trồng cây lâu năm và đất trồng cây hàng năm khác</t>
  </si>
  <si>
    <t>xã Hòa Sơn, xã Krông Bông, xã Dang Kang, xã Ea Ning, xã Dray Bhăng</t>
  </si>
  <si>
    <t>Nhà máy điện gió Krông Ana 1</t>
  </si>
  <si>
    <t xml:space="preserve">
 Khu vực này đã được quy hoạch là đất mặt nước chuyên dùng (theo Quyết định điều chỉnh QHSDĐ số 1097/QĐ-UBND ngày 20/5/2025 của UBND tỉnh). Hiện trạng thực tế là .</t>
  </si>
  <si>
    <t>200MW</t>
  </si>
  <si>
    <t>mặt hồ</t>
  </si>
  <si>
    <t>xã Ea Phê, xã Ea KLy</t>
  </si>
  <si>
    <t>Nhà máy điện mặt trời trên hồ Krông Búk Hạ 1,2</t>
  </si>
  <si>
    <t>UBND tỉnh đã có văn bản số 4676/UBND-CNXD ngày 09/04/2026 cho phép khảo sát thu thập số liệu nghiên cứu vị trí mới của dự án</t>
  </si>
  <si>
    <t>230MW</t>
  </si>
  <si>
    <t>Thôn 4, xã Ea H'leo</t>
  </si>
  <si>
    <t>250MW</t>
  </si>
  <si>
    <t>Đất hiện trạng: CLN, HNK</t>
  </si>
  <si>
    <t>xã Cư Pơng, xã Krông Búk, xã Ea Khăl, xã Ea Kiết</t>
  </si>
  <si>
    <t xml:space="preserve">Nhà máy điện gió Ea Sin 2 </t>
  </si>
  <si>
    <t>452MW</t>
  </si>
  <si>
    <t>Nhà máy ĐMT trên hồ Ea Súp Thượng giai đoạn 1</t>
  </si>
  <si>
    <t>Giáp Quốc lộ 29, cách đường điện 110KV khoảng 4,7 km</t>
  </si>
  <si>
    <r>
      <t>Được quy hoạch đất năng lượng (</t>
    </r>
    <r>
      <rPr>
        <sz val="11"/>
        <color indexed="8"/>
        <rFont val="Times New Roman"/>
        <family val="1"/>
      </rPr>
      <t>QĐ số
 1414/QĐ/UBND ngày 24/6/2025 của UBND tỉnh
 Đắk Lắk); Đã có trong quy hoạch xây dựng theo 
QĐ số 79/QĐ-UBND ngày 24/1/2025 của UBND 
huyện Ea Súp (cũ); Quyết định số 768/QĐ-TTg ngày 15/04/2025; Quyết định số 1509/QĐ-BCT ngày 30/05/2025</t>
    </r>
  </si>
  <si>
    <t>500 MW</t>
  </si>
  <si>
    <t xml:space="preserve">Tiểu khu 293, xã Ea Súp, tỉnh Đắk Lắk </t>
  </si>
  <si>
    <t>Cụm Nhà máy điện mặt trời tiểu khu 293 xã Cư M’Lan</t>
  </si>
  <si>
    <t>1000MW</t>
  </si>
  <si>
    <t>thuộc phần diện tích do Trung đoàn 737 – Quân khu 5 giao về cho địa phương quản lý.</t>
  </si>
  <si>
    <t>xã Ia Rvê</t>
  </si>
  <si>
    <t>Nhà máy điện mặt trời Ia Rvê (gồm 04 nhà máy từ số 1 đến số 4 với quy mô: 300+300+300+100)</t>
  </si>
  <si>
    <t>Quyết định số 768/QĐ-TTg ngày 15/4/2025 của Thủ Tướng Chính Phủ về việc  Phê duyệt điều chỉnh quy hoạch phát triển điện lực quốc gia thời kỳ 2021-2030, tầm nhìn đến năm 2050</t>
  </si>
  <si>
    <t>200 mw</t>
  </si>
  <si>
    <t>Diên tích Hồ Ea Leo 1</t>
  </si>
  <si>
    <t>Sử dụng mặt nước Hồ Ea H'Leo 1</t>
  </si>
  <si>
    <t>Dự án điện mặt trời hồ Ea H'Leo 1</t>
  </si>
  <si>
    <r>
      <t>-</t>
    </r>
    <r>
      <rPr>
        <sz val="11"/>
        <rFont val="Times New Roman"/>
        <family val="1"/>
      </rPr>
      <t xml:space="preserve"> Quyết định số 768/QĐ-TTg ngày 15/04/2025 của Thủ tướng Chính Phủ phê duyệt Điều chỉnh Quy hoạch phát triển điện lực quốc gia thời  kỳ 2021-2030, tầm nhìn 2050
- Quyết định số 1509/QĐ-BCT ngày 30/05/2025 của Bộ Công Thương phê duyệt Kế hoạch thực hiện Quy hoạch phát triển điện lực quốc gia thời kỳ 2021- 2030, tầm nhìn đến năm 2050 điều chỉnh;
Quyết định số 1747/QĐ-TTG ngày 30/12/2023 của Thủ tướng Chính Phủ phê duyệt Quy hoạch tỉnh Đắk Lắk thời kỳ 2021 - 2030, tầm nhìn đến năm 2050;
- Nghị quyết số 13/NQ-HĐND ngày 19/2/2025 của HDND tỉnh Đắk Lắk (cũ) phê duyệt Danh mục các khu đất thực hiện đấu thầu dự án đầu tư có sử dụng đất trên địa bàn tỉnh Đắk Lắk</t>
    </r>
  </si>
  <si>
    <t>Nhà máy điện mặt trời nổi hồ Sông Hinh 3</t>
  </si>
  <si>
    <t>- Quyết định số 768/QĐ-TTg ngày 15/04/2025 của Thủ tướng Chính Phủ phê duyệt Điều chỉnh Quy hoạch phát triển điện lực quốc gia thời  kỳ 2021-2030, tầm nhìn 2050
- Quyết định số 1509/QĐ-BCT ngày 30/05/2025 của Bộ Công Thương phê duyệt Kế hoạch thực hiện Quy hoạch phát triển điện lực quốc gia thời kỳ 2021- 2030, tầm nhìn đến năm 2050 điều chỉnh;
- Quyết định 1424/QĐ- UBND ngày 22/10/2024 của UBND tỉnh Phú Yên (cũ) phê duyệt điều chỉnh Quy hoạch sử dụng đất đến năm 2030 huyện Sông Hinh;</t>
  </si>
  <si>
    <t>Nhà máy điện mặt trời nổi hồ Sông Hinh</t>
  </si>
  <si>
    <t>Dự án đã xác định được tổng vốn đầu tư (17 dự án với tổng vốn 41.864 tỷ)</t>
  </si>
  <si>
    <t>Hình thức đầu tư và Kinh phí bồi thường, GPMB (Ước tính - tỷ đồng)</t>
  </si>
  <si>
    <t>Các dự án chưa có vốn đầu tư có trong Quy hoạch điện VIII (30 dự án với tổng vốn đầu tư dự kiến 85.980 tỷ)</t>
  </si>
  <si>
    <t xml:space="preserve">Dự án Sân Golf </t>
  </si>
  <si>
    <t>xã Tuy An Nam</t>
  </si>
  <si>
    <t>Đất sản xuất nông nghiệp (HNK; CLN; RSX)</t>
  </si>
  <si>
    <t>Trong tổng quy mô 450 ha: trong đó kêu gọi đầu tư sân Golf 150 ha, còn lại đất TMD+DTT+ DHT+ …</t>
  </si>
  <si>
    <t>Đề xuất mới (Đã được phê duyệt trong Quy hoạch chung đô thị Chí Thạnh và vùng phụ cận đến năm 2035)</t>
  </si>
  <si>
    <t>Chưa có phương án đền bù</t>
  </si>
  <si>
    <t>Khu dịch vụ du lịch, nghỉ dưỡng, trung tâm văn hóa thể dục thể thao (sân Gofl)</t>
  </si>
  <si>
    <t>Thôn Tân qui, Đồng Nổ, Đồng Môn, xã Ô Loan</t>
  </si>
  <si>
    <t>Đất cân đối giao theo Nghị định 64 và tự khai thác phát dọn</t>
  </si>
  <si>
    <t>Đất rừng, bằng hằng năm (BHK)</t>
  </si>
  <si>
    <t>Sân Golf diện tích khoảng 150ha; các khu phục vụ du lịch, nghỉ dưỡng, công viên cây xanh diện tích khoảng 300ha</t>
  </si>
  <si>
    <t xml:space="preserve"> - Quyết định số 945/DQQ-UBND ngày 09/4/2025 của UBND tỉnh phê duyệt Quy hoạch chung đô thị Chí Thạnh và vùng phụ cận đến năm 2035 được UBND tỉnh Phú Yên
 - Quyết định số 1823/QĐ-UBND ngày 26/12/2024 của UBND tỉnh phê duyệt điều chỉnh Quy hoạch sử dụng đất đến năm 2030 huyện Tuy An</t>
  </si>
  <si>
    <t>Đã có đường giao thông BTXM; hệ thống điện quốc gia</t>
  </si>
  <si>
    <t>Dự án sân gôn hồ Ea Nhái</t>
  </si>
  <si>
    <t xml:space="preserve"> xã Cuôr Đăng, xã Ea Knuếc</t>
  </si>
  <si>
    <t>Quy hoạch phân khu tỷ lệ 1/2000 Tổ hợp Khu du lịch sinh thái, vui chơi giải trí và Sân golf Hồ Ea Nhái</t>
  </si>
  <si>
    <t>Phạm vi ranh giới vị trí đề xuất lập quy hoạch có quy mô diện tích ≈ 191,0ha. Trong đó, có ≈ 135,4ha tại xã Cuôr Đăng, huyện Cư M’gar (nay là xã Cuôr Đăng, tỉnh Đắk Lắk) và có ≈ 55,6ha tại xã Hòa Đông, huyện Krông Pắc (nay là xã Ea Knuếc, tỉnh Đắk Lắk</t>
  </si>
  <si>
    <t>Chưa xác định</t>
  </si>
  <si>
    <t xml:space="preserve"> KHU DU LỊCH, NGHỈ DƯỠNG (19 DA; 92.865 TỶ)</t>
  </si>
  <si>
    <t>Hình thức đầu tư và kinh phí bồi thường, GPMB (Ước tính - tỷ đồng)</t>
  </si>
  <si>
    <t>sử dụng 273 ha diện tích mặt nước hồ thủy điện Sông Hinh và một phần đất làm trạm biến áp</t>
  </si>
  <si>
    <t>sử dụng 233 ha diện tích mặt nước hồ thủy điện Sông Hinhvà một phần đất làm trạm biến áp</t>
  </si>
  <si>
    <t>Đã sử dụng 59,72 ha; phần còn lại 10,28 ha chưa có nhà đầu tư (cụ thê Dự án: Nhà máy gạch Tuy nen (Gia Thành) với diện tích 04 ha; DụDự án: Nhà máy  55,72 ha (chủ đầu tư chưa triển khai dụ án); phần còn lại khoảng 10,28 ha</t>
  </si>
  <si>
    <t>- Quyết định số 1454/QĐ-TTg ngày 01/9/2021 của Thủ tướng Chính phủ Quy hoạch mạng lưới đường bộ thời kỳ 2021 - 2030, tầm nhìn đến năm 2050;
- Quyết định số 12/QĐ-TTg ngày 03/01/2025 của Thủ tướng Chính phủ về việc phê duyệt điều chỉnh Quy hoạch mạng lưới đường bộ thời kỳ 2021-2030, tầm nhìn đến năm 2050;
- Quyết định số 2470/QĐ-BXD ngày 30/12/2025 của Bộ Xây dựng Quy hoạch kết cấu hạ tầng hạ tầng đường bộ thời kỳ 2021 – 2030, tầm nhìn đến năm 2050;
- Công văn số 15068/BXD-KHTC ngày 11/12/2025 của Bộ Xây dựng, giao cho UBND tỉnh Đắk Lắk làm cơ quan có thẩm quyền tổ chức nghiên cứu đầu tư xây dựng tuyến đường bộ cao tốc Phú Yên - Đắk Lắk theo phương thức đối tác công tư</t>
  </si>
  <si>
    <t>Đất đã được Nhà nước thu hồi của các hộ gia đình,
cá nhân để phục vụ xây dựng công trình hồ chứa nước Krông Búk Hạ; hiện đang giao lạo cho các hộ dân tiếp tục canh tác</t>
  </si>
  <si>
    <t xml:space="preserve"> Quyết định số 937/QĐ-UBND ngày 16/5/2013 của UBND tỉnh Đắk Lắk (cũ) phê duyệt Quy hoạch xây dựng Cơ sở chất thải rắn Hoà Phú thành phố Buôn Ma Thuột, giai đoạn sau 2015.</t>
  </si>
  <si>
    <t xml:space="preserve">- phù hợp với   Quy hoạch sử dụng đất đến năm 2030 huyệnTuy An được phê duyệt điều chỉnh (tại Quyết định số 1823/QĐ-UBND ngày 26/12/2024), </t>
  </si>
  <si>
    <t>Tổ hợp Khu du lịch sinh
thái, vui chơi giải trí và sân
golf hiện đại, đồng bộ về
giao thông và hạ tầng kỹ
thuật</t>
  </si>
  <si>
    <t xml:space="preserve"> (Hình thức PPP)</t>
  </si>
  <si>
    <t xml:space="preserve">Phụ lục 2.1: LĨNH VỰC NĂNG LƯỢNG TÁI TẠO </t>
  </si>
  <si>
    <t>(47 Dự án với tổng vốn 127.844 tỷ đồng)</t>
  </si>
  <si>
    <t xml:space="preserve">Phụ lục 2.1: LĨNH VỰC ĐÔ THỊ, NHÀ Ở THƯƠNG MẠI, NHÀ Ở XÃ HỘI </t>
  </si>
  <si>
    <t>Phụ lục 2: DANH MỤC DỰ ÁN THU HÚT ĐẦU TƯ GIAI ĐOẠN 2026- 2030 VÀ PHỤC VỤ HỘI NGHỊ XÚC TIẾN ĐẦU TƯ</t>
  </si>
  <si>
    <t>Phụ lục 2: DANH MỤC DỰ ÁN THU HÚT ĐẦU TƯ GIAI ĐOẠN 2026-2030 VÀ PHỤC VỤ HỘI NGHỊ XÚC TIẾN ĐẦU TƯ</t>
  </si>
  <si>
    <t>Đầu tư xây dựng kết cấu hạ tầng kỹ thuật  KCN và cho các nhà đầu tư thuê đất để thực hiện dự án đầu tư  theo quy hoạch được duyệt.
(Phân kỳ đầu tư theo hiện trạng diện tích chuyển mục đích sử dụng đất trồng lúa 2 vụ).</t>
  </si>
  <si>
    <t>Dự án đầu tư xây dựng và kinh doanh kết cấu hạ tầng Khu công nghiệp Hòa Thành</t>
  </si>
  <si>
    <t>Đất chuyên trồng lúa nước, đất thủy lợi, đất giao thông</t>
  </si>
  <si>
    <t>Xây dựng đồng bộ kết cấu hạ tầng kỹ thuật tại KCN và cho các nhà đầu tư thuê đất, thuê lại đất để thực hiện dự án đầu tư, tổ chức sản xuất, kinh doanh theo quy hoạch được duyệt.
(Phân kỳ đầu tư theo hiện trạng diện tích chuyển mục đích sử dụng đất trồng lúa 2 vụ).</t>
  </si>
  <si>
    <t>- Quy hoạch chung xây dựng Khu kinh tế Nam Phú Yên đến năm 2040 (tại Quyết định số 1226/QĐ-TTg ngày 24/10/2023 của Thủ tướng Chính phủ).
- Quy hoạch sử dụng đất đến năm 2030 thị xã Đông Hòa (tại Quyết định số 1349/QĐ-UBND ngày 09/10/2024, Quyết định số 434/QĐ-UBND ngày 20/3/2025).
- Khu vực chưa có quy hoạch phân khu tỷ lệ 1/2.000</t>
  </si>
  <si>
    <t>Dự án đầu tư xây dựng và kinh doanh kết cấu hạ tầng Khu công nghiệp hậu cần sân bay</t>
  </si>
  <si>
    <t>Đất chuyên trồng lúa nước, đất ở đô thị, đất bằng chưa sử dụng</t>
  </si>
  <si>
    <t>KCN Hòa Xuân Đông hoặc KCN Hòa Xuân Tây</t>
  </si>
  <si>
    <t>300-350</t>
  </si>
  <si>
    <t>Dự án Kho xăng, dầu, khí hóa lỏng (LNG)</t>
  </si>
  <si>
    <t>KCN Hòa Tâm hoặc KCN Hòa Xuân Đông hoặc KCN Hòa Xuân Tây</t>
  </si>
  <si>
    <t>- Quy hoạch chung xây dựng Khu kinh tế Nam Phú Yên đến năm 2040 (tại Quyết định số 1226/QĐ-TTg ngày 24/10/2023 của Thủ tướng Chính phủ).
- Quy hoạch sử dụng đất đến năm 2030 thị xã Đông Hòa (tại Quyết định số 1349/QĐ-UBND ngày 09/10/2024, Quyết định số 434/QĐ-UBND ngày 20/3/2025).
- Quy hoạch phân khu tỷ lệ 1/2.000 (tại Quyết định số 1846/QĐ-UBND ngày 22/10/2020 của UBND tỉnh). 
- Khu vực đang tổ chức lập điều chỉnh quy hoạch phân khu tỷ lệ 1/2.000.</t>
  </si>
  <si>
    <t xml:space="preserve">Khu đô thị dịch vụ phía Đông đường Hùng Vương, phường Phú Yên </t>
  </si>
  <si>
    <t>Khu đô thị mới phường Phú Yên</t>
  </si>
  <si>
    <t>Đất chuyên trồng lúa nước, đất ở đô thị, đất giao thông, đất thủy lợi</t>
  </si>
  <si>
    <t>Xây dựng khu đô thị hiện đại với có các cơ sở hạ tầng xã hội, hạ tầng kỹ thuật đồng bộ hoàn thiện, có môi trường sống tốt, đảm bảo tiêu chuẩn của một đô thị trong tương lai; một đô thị dịch vụ hỗn hợp hỗ trợ tốt cho khu vực Nam Tuy Hòa, Bắc Khu kinh tế Nam Phú Yên, sân bay Tuy Hòa và ga đường sắt...</t>
  </si>
  <si>
    <t>- Quy hoạch chung xây dựng Khu kinh tế Nam Phú Yên đến năm 2040 tại (Quyết định số 1226/QĐ-TTg ngày 24/10/2023 của Thủ tướng Chính phủ).
- Quy hoạch chung thành phố Tuy Hòa và khu vực lân cận, tỉnh Phú Yên đến năm 2040 (tại Quyết định số 996/QĐ-UBND ngày 22/7/2024).
- Quy hoạch phân khu tỷ lệ 1/2.000 (tại Quyết định số 412/QĐ-UBND ngày 18/3/2021 của UBND tỉnh).
- Quy hoạch phân khu tỷ lệ 1/2.000 (tại Quyết định số 3244/QĐ-UBND ngày 09/7/2019 của UBND tỉnh).</t>
  </si>
  <si>
    <t>Khu đô thị dịch vụ ven Biển phường Hòa Hiệp thuộc Khu kinh tế Nam Phú Yên</t>
  </si>
  <si>
    <t>Đất rừng sản xuất, đất nông nghiệp</t>
  </si>
  <si>
    <t>Đầu tư xây dựng khu đô thị hiện đại, đồng bộ về hạ tầng kỹ thuật và hạ tầng xã hội; phát triển nhà ở thương mại gắn với nhà ở xã hội, đảm bảo môi trường sống chất lượng, đáp ứng các tiêu chuẩn, quy chuẩn theo quy định.</t>
  </si>
  <si>
    <t>- Quy hoạch chung xây dựng Khu kinh tế Nam Phú Yên đến năm 2040 (tại Quyết định số 1226/QĐ-TTg ngày 24/10/2023 của Thủ tướng Chính phủ).
- Quy hoạch sử dụng đất đến năm 2030 thị xã Đông Hòa (tại Quyết định số 1349/QĐ-UBND ngày 09/10/2024, Quyết định số 434/QĐ-UBND ngày 20/3/2025).
- Quy hoạch chi tiết tỷ lệ 1/500 (tại Quyết định số 1061/QĐ-UBND ngày 27/4/2021 của UBND thị xã Đông Hòa).
- Khu vực chưa có quy hoạch phân khu tỷ lệ 1/2.000.</t>
  </si>
  <si>
    <t>Khu đô thị mới phía Đông Hòa Vinh</t>
  </si>
  <si>
    <t>Đất của dân quản lý</t>
  </si>
  <si>
    <t>Đất chuyên trồng lúa nước</t>
  </si>
  <si>
    <t>- Quy hoạch chung xây dựng Khu kinh tế Nam Phú Yên đến năm 2040 (tại Quyết định số 1226/QĐ-TTg ngày 24/10/2023 của Thủ tướng Chính phủ).
- Quy hoạch sử dụng đất đến năm 2030 của thị xã Đông Hòa (tại Quyết định số 1994/QĐ-UBND ngày 31/12/2021 của UBND tỉnh).
- Quy hoạch chi tiết tỷ lệ 1/500 với diện tích 43ha (tại Quyết định số 2934/QĐ-UBND ngày 28/6/2019 của UBND thị xã Đông Hòa).
- Khu vực chưa có quy hoạch phân khu tỷ lệ 1/2.000.</t>
  </si>
  <si>
    <t xml:space="preserve">Khu đô thị dịch vụ phía Tây đường Hùng Vương phường Phú Yên </t>
  </si>
  <si>
    <t>- Quy hoạch chung xây dựng Khu kinh tế Nam Phú Yên đến năm 2040 (tại Quyết định số 1226/QĐ-TTg ngày 24/10/2023 của Thủ tướng Chính phủ).
- Quy hoạch chung thành phố Tuy Hòa và khu vực lân cận, tỉnh Phú Yên đến năm 2040 (tại Quyết định số 996/QĐ-UBND ngày 22/7/2024).
- Quy hoạch phân khu tỷ lệ 1/2.000 (tại Quyết định số 1283/QĐ-UBND ngày 20/7/2007; số 1245/QĐ-UBND ngày 06/7/2009 của UBND tỉnh).
- Khu vực đang tổ chức lập điều chỉnh quy hoạch phân khu tỷ lệ 1/2.000.</t>
  </si>
  <si>
    <t>Khu đô thị, dịch vụ du lịch sinh thái Nam Sông Ba</t>
  </si>
  <si>
    <t>Đất ở tại nông thôn, đất trồng cây hàng năm khác, đất chưa sử dụng, đất nghĩa trang</t>
  </si>
  <si>
    <t>Phát triển khu vực Nam sông Ba thành khu vực hỗ hợp Đô thị - Du lịch - Dịch vụ để phục vụ phát triển du lịch và phát triển đô thị.</t>
  </si>
  <si>
    <t>- Quy hoạch chung xây dựng Khu kinh tế Nam Phú Yên đến năm 2040 (tại Quyết định số 1226/QĐ-TTg ngày 24/10/2023 của Thủ tướng Chính phủ).
- Quy hoạch chung thành phố Tuy Hòa và khu vực lân cận, tỉnh Phú Yên đến năm 2040 (tại Quyết định số 996/QĐ-UBND ngày 22/7/2024).
- Khu vực chưa có quy hoạch phân khu tỷ lệ 1/2.000.</t>
  </si>
  <si>
    <t>Khu đô thị, dịch vụ phục vụ công nghiệp phường Hòa Hiệp</t>
  </si>
  <si>
    <t>Đất ở đô thị, đất trồng cây lâu năm,  đất hằng năm khác, đất nuôi trồng thủy sản.</t>
  </si>
  <si>
    <t>Hình thành khu đô thị - dịch vụ phục vụ công nghiệp cho toàn Khu kinh tế Nam Phú Yên; đảm bảo quỹ đất phát triển nhà ở công nhân, chuyên gia và tái định cư; phát triển đồng bộ, khai thác hiệu quả quỹ đất, hướng đến đô thị hiện đại, bền vững.</t>
  </si>
  <si>
    <t>- Quy hoạch chung xây dựng Khu kinh tế Nam Phú Yên đến năm 2040 (tại Quyết định số 1226/QĐ-TTg ngày 24/10/2023 của Thủ tướng Chính phủ).
- Quy hoạch sử dụng đất đến năm 2030 thị xã Đông Hòa (tại Quyết định số 1349/QĐ-UBND ngày 09/10/2024, Quyết định số 434/QĐ-UBND ngày 20/3/2025).
- Quy hoạch phân khu tỷ lệ 1/2.000 (tại Quyết định số 889/QĐ-UBND ngày 31/5/2025 của UBND tỉnh).</t>
  </si>
  <si>
    <t>Dự án Nhà ở xã hội (Ký hiệu B-OM01) thuộc Khu đô thị, dịch vụ phục vụ công nghiệp phường Hòa Hiệp</t>
  </si>
  <si>
    <t>Xây dựng khu nhà ở xã hội với đầy đủ hạ tầng kỹ thuật phục vụ cho các đối tượng theo quy định của pháp luật.</t>
  </si>
  <si>
    <t>Khu dịch vụ - công cộng, hành chính cảng Bãi Gốc</t>
  </si>
  <si>
    <t>34,49</t>
  </si>
  <si>
    <t>ất trong cây lâu năm</t>
  </si>
  <si>
    <t>Xây dựng khu dịch vụ - công cộng và hành chính phục vụ hoạt động Cảng Bãi Gốc; cung cấp các dịch vụ hỗ trợ khai thác cảng biển, logistics và thương mại; đồng thời bố trí hệ thống cây xanh, cảnh quan và hạ tầng giao thông đồng bộ theo quy hoạch.</t>
  </si>
  <si>
    <t>- Quy hoạch chung xây dựng Khu kinh tế Nam Phú Yên đến năm 2040 (tại Quyết định số 1226/QĐ-TTg ngày 24/10/2023 của Thủ tướng Chính phủ).
- Quy hoạch sử dụng đất đến năm 2030 thị xã Đông Hòa (tại Quyết định số 1349/QĐ-UBND ngày 09/10/2024, Quyết định số 434/QĐ-UBND ngày 20/3/2025).
- Quy hoạch phân khu tỷ lệ 1/2.000 (tại Quyết định số 945/QĐ-UBND ngày 12/7/2024 của UBND tỉnh).
- Hiện đang lập Đồ án Quy hoạch chi tiết 1/500 Khu dịch vụ - công cộng, hành chính cảng Bãi Gốc với diện tích khoảng 35ha.</t>
  </si>
  <si>
    <t>Đất rừng sản xuất (đã đưa ra khỏi quy hoạch 3 loại rừng)</t>
  </si>
  <si>
    <t>- Quy hoạch chung xây dựng Khu kinh tế Nam Phú Yên đến năm 2040 (tại Quyết định số 1226/QĐ-TTg ngày 24/10/2023 của Thủ tướng Chính phủ).
- Quy hoạch sử dụng đất đến năm 2030 thị xã Đông Hòa (tại Quyết định số 1349/QĐ-UBND ngày 09/10/2024, Quyết định số 434/QĐ-UBND ngày 20/3/2025).
- Khu vực đang triển khai lập quy hoạch phân khu tỷ lệ 1/2000</t>
  </si>
  <si>
    <t>20-30</t>
  </si>
  <si>
    <t>Dự án Đầu tư xây dựng trường học đa  cấp hoặc Bệnh viện quốc tế  tại Khu đô thị mới Nam Tuy Hòa</t>
  </si>
  <si>
    <t>3,3</t>
  </si>
  <si>
    <t>Đất bằng chưa sử dụng
(đã đầu tư hạ tầng hoàn chỉnh)</t>
  </si>
  <si>
    <t>Thu hút đầu tư xây dựng trường học đa cấp hoặc bệnh viên theo tiêu chuẩn quốc tế nhằm đáp ứng nhu cầu giáo dục, đào tạo, chăm sóc y tế của người dân; góp phần hoàn thiện hệ thống hạ tầng xã hội theo quy hoạch.</t>
  </si>
  <si>
    <t>- Quy hoạch chung xây dựng Khu kinh tế Nam Phú Yên đến năm 2040 (tại Quyết định số 1226/QĐ-TTg ngày 24/10/2023 của Thủ tướng Chính phủ).
- Quy hoạch chung thành phố Tuy Hòa và khu vực lân cận, tỉnh Phú Yên đến năm 2040 (tại Quyết định số 996/QĐ-UBND ngày 22/7/2024).
- Quy hoạch phân khu tỷ lệ 1/2.000 (tại Quyết định số 1283/QĐ-UBND ngày 20/7/2007; số 1245/QĐ-UBND ngày 06/7/2009 của UBND tỉnh).
- Quy hoạch chi tiết tỷ lệ 1/500 Khu dân cư phía Nam, Khu công viên trung tâm thuộc Khu đô thị mới Nam thành phố Tuy Hòa (tại Quyết định số 4493/QĐ-UBND ngày 16/10/2018 của UBND thành phố Tuy Hòa).</t>
  </si>
  <si>
    <t>DỰ ÁN ĐÔ THỊ (20 DỰ ÁN;149.881 TỶ)</t>
  </si>
  <si>
    <t>NHÀ Ở THƯƠNG MẠI (18 DA;  28.330 TỶ)</t>
  </si>
  <si>
    <t>NHÀ Ở XÃ HỘI (12 DA; 25.264 TỶ)</t>
  </si>
  <si>
    <t>(50 Dự án với tổng vốn 203.475 tỷ đồng)</t>
  </si>
  <si>
    <t>KHU CỤM CÔNG NGHIỆP(28 dự án, 38.790 tỷ đồng)</t>
  </si>
  <si>
    <t>LOGISTICS (4 Dự án, 1.500 tỷ đồng)</t>
  </si>
  <si>
    <t>DANH MỤC DỰ ÁN KÊU GỌI ĐẦU TƯ LĨNH VỰC KHU CỤM CÔNG NGHIỆP, CẢNG BIỂN, HẠ TẦNG GIAO THÔNG, LOGISTIC 
(35 dự án với tổng vốn đầu tư 71.870 tỷ đồng)</t>
  </si>
  <si>
    <t xml:space="preserve"> THƯƠNG MẠI DỊCH VỤ (18 DA, 7.802 tỷ)</t>
  </si>
  <si>
    <t>Phụ lục 1: DANH MỤC DỰ ÁN THU HÚT ĐẦU TƯ LĨNH VỰC NÔNG NGHIỆP, CÔNG NGHIỆP CHÉ BIẾN VÀ THƯƠNG MẠI DỊCH VỤ
(45 Dự án với tổng vốn đầu tư 269.647 tỷ đồng)</t>
  </si>
  <si>
    <t>LĨNH VỰC Y TẾ (04 DA;2.700 TỶ)</t>
  </si>
  <si>
    <t>LĨNH VỰC GIÁO DỤC (04 DA; 1.625 TỶ)</t>
  </si>
  <si>
    <t>Sân golf kết hợp dịch vụ thương mại và nhà ở xã hội</t>
  </si>
  <si>
    <t>phường Bình Kiến và xã Tuy An Nam</t>
  </si>
  <si>
    <t>Nhận chuyển nhượng tài sản gắn liền với đất của Công ty CP Cây kiểng xuất khẩu Phú Yên</t>
  </si>
  <si>
    <t>Sân golf 18 lỗ kết hợp khu dịch vụ thương mại và nhà ở xã hội</t>
  </si>
  <si>
    <t>Đồ án điều chỉnh Quy hoạch chung thành phố Tuy Hòa và khu vực phụ cận, tỉnh Phú Yên đến năm 2040 đã được UBND tỉnh phê duyệt tại Quyết định số 996/QĐ-UBND ngày 22/7/2024</t>
  </si>
  <si>
    <t xml:space="preserve">37 tỷ đồng (có khái toán BTGPMB </t>
  </si>
  <si>
    <t>Phụ lục 2.5: LĨNH VỰC Y TẾ, GIÁO DỤC, MÔI TRƯỜNG VÀ CÔNG NGHỆ THÔNG TIN</t>
  </si>
  <si>
    <t>(14 Dự án với tổng vốn 9.463 tỷ đồng)</t>
  </si>
  <si>
    <t>Phụ lục 2.6: LĨNH VỰC DU LỊCH, THỂ THAO</t>
  </si>
  <si>
    <t>LĨNH VỰC SÂN GOLF - THỂ THAO (08 DA; 14.151 TỶ)</t>
  </si>
  <si>
    <t>(28 Dự án với tổng vốn 107.016 tỷ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</si>
</sst>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3" formatCode="_(* #,##0.00_);_(* \(#,##0.00\);_(* &quot;-&quot;??_);_(@_)"/>
    <numFmt numFmtId="164" formatCode="_-* #,##0.00\ &quot;₫&quot;_-;\-* #,##0.00\ &quot;₫&quot;_-;_-* &quot;-&quot;??\ &quot;₫&quot;_-;_-@_-"/>
    <numFmt numFmtId="165" formatCode="_-* #,##0.00\ _₫_-;\-* #,##0.00\ _₫_-;_-* &quot;-&quot;??\ _₫_-;_-@_-"/>
    <numFmt numFmtId="166" formatCode="_-* #,##0\ _₫_-;\-* #,##0\ _₫_-;_-* &quot;-&quot;??\ _₫_-;_-@_-"/>
    <numFmt numFmtId="167" formatCode="_(* #,##0_);_(* \(#,##0\);_(* &quot;-&quot;??_);_(@_)"/>
    <numFmt numFmtId="168" formatCode="_-* #,##0\ _₫_-;\-* #,##0\ _₫_-;_-* &quot;-&quot;\ _₫_-;_-@_-"/>
    <numFmt numFmtId="169" formatCode="0.0"/>
    <numFmt numFmtId="170" formatCode="#,##0.0"/>
    <numFmt numFmtId="171" formatCode="_-* #,##0_-;\-* #,##0_-;_-* &quot;-&quot;??_-;_-@_-"/>
    <numFmt numFmtId="172" formatCode="_(* #,##0.0_);_(* \(#,##0.0\);_(* &quot;-&quot;??_);_(@_)"/>
    <numFmt numFmtId="173" formatCode="[$-42A]#,##0"/>
  </numFmts>
  <fonts count="22" x14ac:knownFonts="1">
    <font>
      <sz val="11"/>
      <color theme="1"/>
      <name val="Calibri"/>
      <family val="2"/>
      <scheme val="minor"/>
    </font>
    <font>
      <sz val="11"/>
      <color theme="1"/>
      <name val="Calibri"/>
      <family val="2"/>
      <charset val="163"/>
      <scheme val="minor"/>
    </font>
    <font>
      <sz val="10"/>
      <name val="Times New Roman"/>
      <family val="1"/>
    </font>
    <font>
      <sz val="12"/>
      <name val="Times New Roman"/>
      <family val="1"/>
    </font>
    <font>
      <sz val="11"/>
      <color indexed="8"/>
      <name val="Calibri"/>
      <family val="2"/>
    </font>
    <font>
      <sz val="10"/>
      <name val="Arial"/>
      <family val="2"/>
    </font>
    <font>
      <sz val="11"/>
      <color theme="1"/>
      <name val="Calibri"/>
      <family val="2"/>
      <scheme val="minor"/>
    </font>
    <font>
      <sz val="11"/>
      <color theme="1"/>
      <name val="Times New Roman"/>
      <family val="1"/>
    </font>
    <font>
      <sz val="11"/>
      <name val="Times New Roman"/>
      <family val="1"/>
    </font>
    <font>
      <i/>
      <sz val="11"/>
      <name val="Times New Roman"/>
      <family val="1"/>
    </font>
    <font>
      <b/>
      <sz val="11"/>
      <name val="Times New Roman"/>
      <family val="1"/>
    </font>
    <font>
      <b/>
      <i/>
      <sz val="11"/>
      <name val="Times New Roman"/>
      <family val="1"/>
    </font>
    <font>
      <b/>
      <sz val="13"/>
      <name val="Times New Roman"/>
      <family val="1"/>
    </font>
    <font>
      <sz val="11"/>
      <color rgb="FF000000"/>
      <name val="Times New Roman"/>
      <family val="1"/>
    </font>
    <font>
      <sz val="11"/>
      <color indexed="8"/>
      <name val="Times New Roman"/>
      <family val="1"/>
    </font>
    <font>
      <b/>
      <sz val="11"/>
      <color indexed="8"/>
      <name val="Times New Roman"/>
      <family val="1"/>
    </font>
    <font>
      <b/>
      <sz val="11"/>
      <color theme="1"/>
      <name val="Times New Roman"/>
      <family val="1"/>
    </font>
    <font>
      <sz val="13"/>
      <name val="Times New Roman"/>
      <family val="1"/>
    </font>
    <font>
      <sz val="12"/>
      <color theme="1"/>
      <name val="Times New Roman"/>
      <family val="2"/>
    </font>
    <font>
      <sz val="11"/>
      <color rgb="FFFF0000"/>
      <name val="Times New Roman"/>
      <family val="1"/>
    </font>
    <font>
      <sz val="11"/>
      <color theme="1"/>
      <name val="Calibri"/>
      <family val="2"/>
    </font>
    <font>
      <b/>
      <sz val="13"/>
      <color theme="1"/>
      <name val="Times New Roman"/>
      <family val="1"/>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9"/>
        <bgColor indexed="64"/>
      </patternFill>
    </fill>
    <fill>
      <patternFill patternType="solid">
        <fgColor theme="5" tint="0.59999389629810485"/>
        <bgColor indexed="64"/>
      </patternFill>
    </fill>
    <fill>
      <patternFill patternType="solid">
        <fgColor rgb="FFFFFFFF"/>
        <bgColor indexed="64"/>
      </patternFill>
    </fill>
    <fill>
      <patternFill patternType="solid">
        <fgColor theme="8"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4">
    <xf numFmtId="0" fontId="0" fillId="0" borderId="0"/>
    <xf numFmtId="0" fontId="1" fillId="0" borderId="0"/>
    <xf numFmtId="165" fontId="1"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3" fillId="0" borderId="0"/>
    <xf numFmtId="168" fontId="4" fillId="0" borderId="0" applyFont="0" applyFill="0" applyBorder="0" applyAlignment="0" applyProtection="0"/>
    <xf numFmtId="0" fontId="5" fillId="0" borderId="0"/>
    <xf numFmtId="43" fontId="6" fillId="0" borderId="0" applyFont="0" applyFill="0" applyBorder="0" applyAlignment="0" applyProtection="0"/>
    <xf numFmtId="43" fontId="6" fillId="0" borderId="0" applyFont="0" applyFill="0" applyBorder="0" applyAlignment="0" applyProtection="0"/>
    <xf numFmtId="0" fontId="18" fillId="0" borderId="0"/>
    <xf numFmtId="0" fontId="6" fillId="0" borderId="0"/>
    <xf numFmtId="0" fontId="1" fillId="0" borderId="0"/>
    <xf numFmtId="0" fontId="2" fillId="0" borderId="0"/>
    <xf numFmtId="0" fontId="20" fillId="0" borderId="0"/>
    <xf numFmtId="43" fontId="2"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4" fillId="0" borderId="0" applyFont="0" applyFill="0" applyBorder="0" applyAlignment="0" applyProtection="0"/>
    <xf numFmtId="0" fontId="5" fillId="0" borderId="0"/>
    <xf numFmtId="0" fontId="2" fillId="0" borderId="0"/>
  </cellStyleXfs>
  <cellXfs count="186">
    <xf numFmtId="0" fontId="0" fillId="0" borderId="0" xfId="0"/>
    <xf numFmtId="0" fontId="10" fillId="2" borderId="1" xfId="1" applyFont="1" applyFill="1" applyBorder="1" applyAlignment="1">
      <alignment horizontal="center" vertical="center" wrapText="1"/>
    </xf>
    <xf numFmtId="167" fontId="10" fillId="2" borderId="1" xfId="9" applyNumberFormat="1" applyFont="1" applyFill="1" applyBorder="1" applyAlignment="1">
      <alignment horizontal="center" vertical="center" wrapText="1"/>
    </xf>
    <xf numFmtId="0" fontId="9" fillId="0" borderId="1" xfId="1" applyFont="1" applyBorder="1" applyAlignment="1">
      <alignment horizontal="center" vertical="center" wrapText="1"/>
    </xf>
    <xf numFmtId="0" fontId="8" fillId="0" borderId="1" xfId="1" applyFont="1" applyBorder="1" applyAlignment="1">
      <alignment horizontal="center" vertical="center" wrapText="1"/>
    </xf>
    <xf numFmtId="167" fontId="9" fillId="0" borderId="1" xfId="9" applyNumberFormat="1" applyFont="1" applyFill="1" applyBorder="1" applyAlignment="1">
      <alignment horizontal="center" vertical="center" wrapText="1"/>
    </xf>
    <xf numFmtId="0" fontId="10" fillId="3" borderId="1" xfId="1" applyFont="1" applyFill="1" applyBorder="1" applyAlignment="1">
      <alignment horizontal="center" vertical="center" wrapText="1"/>
    </xf>
    <xf numFmtId="0" fontId="8" fillId="0" borderId="1" xfId="1" quotePrefix="1"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10" fillId="0" borderId="1" xfId="1" applyFont="1" applyBorder="1" applyAlignment="1">
      <alignment horizontal="center" vertical="center" wrapText="1"/>
    </xf>
    <xf numFmtId="0" fontId="8" fillId="0" borderId="1" xfId="1" quotePrefix="1" applyFont="1" applyBorder="1" applyAlignment="1">
      <alignment horizontal="left" vertical="center" wrapText="1"/>
    </xf>
    <xf numFmtId="0" fontId="8" fillId="0" borderId="1" xfId="0" applyFont="1" applyBorder="1" applyAlignment="1">
      <alignment horizontal="center" vertical="center"/>
    </xf>
    <xf numFmtId="1" fontId="8" fillId="0" borderId="1" xfId="1" applyNumberFormat="1" applyFont="1" applyBorder="1" applyAlignment="1">
      <alignment horizontal="center" vertical="center" wrapText="1" shrinkToFit="1"/>
    </xf>
    <xf numFmtId="0" fontId="7" fillId="0" borderId="1" xfId="0" applyFont="1" applyBorder="1" applyAlignment="1">
      <alignment horizontal="center" vertical="center" wrapText="1"/>
    </xf>
    <xf numFmtId="0" fontId="8" fillId="0" borderId="1" xfId="4" applyFont="1" applyBorder="1" applyAlignment="1">
      <alignment horizontal="left" vertical="center" wrapText="1"/>
    </xf>
    <xf numFmtId="0" fontId="8" fillId="5" borderId="1" xfId="6" applyFont="1" applyFill="1" applyBorder="1" applyAlignment="1">
      <alignment horizontal="center" vertical="center" wrapText="1"/>
    </xf>
    <xf numFmtId="0" fontId="7" fillId="5" borderId="1" xfId="0" applyFont="1" applyFill="1" applyBorder="1" applyAlignment="1">
      <alignment horizontal="center" vertical="center" wrapText="1"/>
    </xf>
    <xf numFmtId="0" fontId="8" fillId="0" borderId="0" xfId="1" applyFont="1" applyAlignment="1">
      <alignment horizontal="center" vertical="center" wrapText="1"/>
    </xf>
    <xf numFmtId="0" fontId="8" fillId="0" borderId="1" xfId="4" applyFont="1" applyBorder="1" applyAlignment="1">
      <alignment horizontal="center" vertical="center" wrapText="1"/>
    </xf>
    <xf numFmtId="167" fontId="8" fillId="0" borderId="1" xfId="9" applyNumberFormat="1" applyFont="1" applyFill="1" applyBorder="1" applyAlignment="1">
      <alignment horizontal="center" vertical="center" wrapText="1"/>
    </xf>
    <xf numFmtId="0" fontId="8" fillId="0" borderId="1" xfId="1" applyFont="1" applyBorder="1" applyAlignment="1">
      <alignment horizontal="left" vertical="center" wrapText="1"/>
    </xf>
    <xf numFmtId="0" fontId="8" fillId="2" borderId="1" xfId="1" quotePrefix="1" applyFont="1" applyFill="1" applyBorder="1" applyAlignment="1">
      <alignment horizontal="center" vertical="center" wrapText="1"/>
    </xf>
    <xf numFmtId="167" fontId="8" fillId="0" borderId="1" xfId="9" applyNumberFormat="1" applyFont="1" applyBorder="1" applyAlignment="1">
      <alignment horizontal="center" vertical="center" wrapText="1"/>
    </xf>
    <xf numFmtId="0" fontId="8" fillId="4" borderId="1" xfId="4" applyFont="1" applyFill="1" applyBorder="1" applyAlignment="1">
      <alignment horizontal="center" vertical="center" wrapText="1"/>
    </xf>
    <xf numFmtId="0" fontId="8" fillId="5" borderId="1" xfId="4" applyFont="1" applyFill="1" applyBorder="1" applyAlignment="1">
      <alignment horizontal="center" vertical="center" wrapText="1"/>
    </xf>
    <xf numFmtId="167" fontId="8" fillId="5" borderId="1" xfId="9" applyNumberFormat="1" applyFont="1" applyFill="1" applyBorder="1" applyAlignment="1">
      <alignment horizontal="center" vertical="center" wrapText="1"/>
    </xf>
    <xf numFmtId="0" fontId="8" fillId="5" borderId="1" xfId="0" applyFont="1" applyFill="1" applyBorder="1" applyAlignment="1">
      <alignment horizontal="center" vertical="center" wrapText="1"/>
    </xf>
    <xf numFmtId="0" fontId="7" fillId="0" borderId="1" xfId="0" applyFont="1" applyBorder="1" applyAlignment="1">
      <alignment horizontal="left" vertical="center" wrapText="1"/>
    </xf>
    <xf numFmtId="4" fontId="8" fillId="0" borderId="1" xfId="1" applyNumberFormat="1" applyFont="1" applyBorder="1" applyAlignment="1">
      <alignment horizontal="center" vertical="center" wrapText="1"/>
    </xf>
    <xf numFmtId="0" fontId="8" fillId="0" borderId="1" xfId="4" quotePrefix="1" applyFont="1" applyBorder="1" applyAlignment="1">
      <alignment horizontal="left" vertical="center" wrapText="1"/>
    </xf>
    <xf numFmtId="41" fontId="8" fillId="0" borderId="1" xfId="7" applyNumberFormat="1" applyFont="1" applyFill="1" applyBorder="1" applyAlignment="1">
      <alignment horizontal="center" vertical="center" wrapText="1"/>
    </xf>
    <xf numFmtId="0" fontId="8" fillId="5" borderId="1" xfId="1" applyFont="1" applyFill="1" applyBorder="1" applyAlignment="1">
      <alignment horizontal="center" vertical="center" wrapText="1"/>
    </xf>
    <xf numFmtId="43" fontId="8" fillId="5" borderId="1" xfId="9" applyFont="1" applyFill="1" applyBorder="1" applyAlignment="1">
      <alignment horizontal="center" vertical="center" wrapText="1"/>
    </xf>
    <xf numFmtId="0" fontId="8" fillId="5" borderId="1" xfId="1" applyFont="1" applyFill="1" applyBorder="1" applyAlignment="1">
      <alignment horizontal="left" vertical="center" wrapText="1"/>
    </xf>
    <xf numFmtId="167" fontId="7" fillId="0" borderId="1" xfId="9" applyNumberFormat="1" applyFont="1" applyFill="1" applyBorder="1" applyAlignment="1">
      <alignment horizontal="center" vertical="center" wrapText="1"/>
    </xf>
    <xf numFmtId="167" fontId="8" fillId="0" borderId="1" xfId="9" applyNumberFormat="1" applyFont="1" applyFill="1" applyBorder="1" applyAlignment="1">
      <alignment horizontal="center" vertical="center" wrapText="1" shrinkToFit="1"/>
    </xf>
    <xf numFmtId="0" fontId="13" fillId="0" borderId="1" xfId="0" applyFont="1" applyBorder="1" applyAlignment="1">
      <alignment horizontal="center" vertical="center" wrapText="1"/>
    </xf>
    <xf numFmtId="167" fontId="13" fillId="0" borderId="1" xfId="9" applyNumberFormat="1" applyFont="1" applyBorder="1" applyAlignment="1">
      <alignment horizontal="center" vertical="center" wrapText="1"/>
    </xf>
    <xf numFmtId="41" fontId="8" fillId="5" borderId="1" xfId="7" applyNumberFormat="1" applyFont="1" applyFill="1" applyBorder="1" applyAlignment="1">
      <alignment horizontal="center" vertical="center" wrapText="1"/>
    </xf>
    <xf numFmtId="0" fontId="8" fillId="5" borderId="1" xfId="1" quotePrefix="1" applyFont="1" applyFill="1" applyBorder="1" applyAlignment="1">
      <alignment horizontal="left" vertical="center" wrapText="1"/>
    </xf>
    <xf numFmtId="3" fontId="8" fillId="0" borderId="1" xfId="1" applyNumberFormat="1" applyFont="1" applyBorder="1" applyAlignment="1">
      <alignment horizontal="center" vertical="center" wrapText="1"/>
    </xf>
    <xf numFmtId="43" fontId="8" fillId="0" borderId="1" xfId="9" applyFont="1" applyFill="1" applyBorder="1" applyAlignment="1">
      <alignment horizontal="center" vertical="center" wrapText="1"/>
    </xf>
    <xf numFmtId="0" fontId="8" fillId="0" borderId="1" xfId="6" applyFont="1" applyBorder="1" applyAlignment="1">
      <alignment horizontal="center" vertical="center" wrapText="1"/>
    </xf>
    <xf numFmtId="3" fontId="8" fillId="0" borderId="1" xfId="0" applyNumberFormat="1" applyFont="1" applyBorder="1" applyAlignment="1">
      <alignment horizontal="center" vertical="center" wrapText="1"/>
    </xf>
    <xf numFmtId="172" fontId="8" fillId="5" borderId="1" xfId="9" applyNumberFormat="1" applyFont="1" applyFill="1" applyBorder="1" applyAlignment="1">
      <alignment horizontal="center" vertical="center" wrapText="1"/>
    </xf>
    <xf numFmtId="0" fontId="8" fillId="2" borderId="1" xfId="1" applyFont="1" applyFill="1" applyBorder="1" applyAlignment="1">
      <alignment horizontal="center" vertical="center" wrapText="1"/>
    </xf>
    <xf numFmtId="167" fontId="7" fillId="0" borderId="1" xfId="9" applyNumberFormat="1" applyFont="1" applyBorder="1" applyAlignment="1">
      <alignment horizontal="center" vertical="center" wrapText="1"/>
    </xf>
    <xf numFmtId="170" fontId="8" fillId="0" borderId="1" xfId="1" applyNumberFormat="1" applyFont="1" applyBorder="1" applyAlignment="1">
      <alignment horizontal="center" vertical="center" wrapText="1"/>
    </xf>
    <xf numFmtId="0" fontId="8" fillId="0" borderId="1" xfId="3" applyFont="1" applyBorder="1" applyAlignment="1">
      <alignment horizontal="center" vertical="center" wrapText="1"/>
    </xf>
    <xf numFmtId="0" fontId="8" fillId="0" borderId="1" xfId="3" applyFont="1" applyBorder="1" applyAlignment="1">
      <alignment horizontal="left" vertical="center" wrapText="1"/>
    </xf>
    <xf numFmtId="166" fontId="8" fillId="0" borderId="1" xfId="2" applyNumberFormat="1" applyFont="1" applyFill="1" applyBorder="1" applyAlignment="1">
      <alignment horizontal="center" vertical="center" wrapText="1" shrinkToFit="1"/>
    </xf>
    <xf numFmtId="0" fontId="8" fillId="0" borderId="1" xfId="3" quotePrefix="1" applyFont="1" applyBorder="1" applyAlignment="1">
      <alignment horizontal="left" vertical="center" wrapText="1"/>
    </xf>
    <xf numFmtId="3" fontId="7" fillId="0" borderId="1" xfId="0" applyNumberFormat="1" applyFont="1" applyBorder="1" applyAlignment="1">
      <alignment horizontal="center" vertical="center" wrapText="1"/>
    </xf>
    <xf numFmtId="0" fontId="8" fillId="5" borderId="1" xfId="6" applyFont="1" applyFill="1" applyBorder="1" applyAlignment="1">
      <alignment horizontal="left" vertical="center" wrapText="1"/>
    </xf>
    <xf numFmtId="49" fontId="8" fillId="0" borderId="1" xfId="6" quotePrefix="1" applyNumberFormat="1" applyFont="1" applyBorder="1" applyAlignment="1">
      <alignment horizontal="left" vertical="center" wrapText="1"/>
    </xf>
    <xf numFmtId="0" fontId="8" fillId="5" borderId="1" xfId="4" quotePrefix="1" applyFont="1" applyFill="1" applyBorder="1" applyAlignment="1">
      <alignment horizontal="center" vertical="center" wrapText="1"/>
    </xf>
    <xf numFmtId="170" fontId="8" fillId="0" borderId="1" xfId="1" quotePrefix="1" applyNumberFormat="1" applyFont="1" applyBorder="1" applyAlignment="1">
      <alignment horizontal="center" vertical="center" wrapText="1"/>
    </xf>
    <xf numFmtId="0" fontId="7" fillId="5"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13" fillId="5" borderId="1" xfId="0" applyFont="1" applyFill="1" applyBorder="1" applyAlignment="1">
      <alignment horizontal="center" vertical="center" wrapText="1"/>
    </xf>
    <xf numFmtId="167" fontId="13" fillId="5" borderId="1" xfId="9" applyNumberFormat="1" applyFont="1" applyFill="1" applyBorder="1" applyAlignment="1">
      <alignment horizontal="center" vertical="center" wrapText="1"/>
    </xf>
    <xf numFmtId="167" fontId="7" fillId="5" borderId="1" xfId="9" applyNumberFormat="1" applyFont="1" applyFill="1" applyBorder="1" applyAlignment="1">
      <alignment horizontal="center" vertical="center" wrapText="1"/>
    </xf>
    <xf numFmtId="0" fontId="7" fillId="2"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49" fontId="7" fillId="0" borderId="1" xfId="0" applyNumberFormat="1" applyFont="1" applyBorder="1" applyAlignment="1">
      <alignment horizontal="center" vertical="center" wrapText="1"/>
    </xf>
    <xf numFmtId="49" fontId="7" fillId="2" borderId="1" xfId="0" applyNumberFormat="1" applyFont="1" applyFill="1" applyBorder="1" applyAlignment="1">
      <alignment horizontal="center" vertical="center" wrapText="1"/>
    </xf>
    <xf numFmtId="3" fontId="7" fillId="0" borderId="1" xfId="9" applyNumberFormat="1" applyFont="1" applyFill="1" applyBorder="1" applyAlignment="1">
      <alignment horizontal="center" vertical="center" wrapText="1"/>
    </xf>
    <xf numFmtId="0" fontId="7" fillId="0" borderId="1" xfId="4" quotePrefix="1" applyFont="1" applyBorder="1" applyAlignment="1">
      <alignment horizontal="left" vertical="center" wrapText="1"/>
    </xf>
    <xf numFmtId="0" fontId="8" fillId="4" borderId="1" xfId="4" applyFont="1" applyFill="1" applyBorder="1" applyAlignment="1">
      <alignment horizontal="left" vertical="center" wrapText="1"/>
    </xf>
    <xf numFmtId="0" fontId="8" fillId="0" borderId="0" xfId="13" applyFont="1" applyAlignment="1">
      <alignment horizontal="center" vertical="center" wrapText="1"/>
    </xf>
    <xf numFmtId="167" fontId="8" fillId="0" borderId="0" xfId="9" applyNumberFormat="1" applyFont="1" applyAlignment="1">
      <alignment horizontal="center" vertical="center" wrapText="1"/>
    </xf>
    <xf numFmtId="0" fontId="10" fillId="0" borderId="1" xfId="13" applyFont="1" applyBorder="1" applyAlignment="1">
      <alignment horizontal="center" vertical="center" wrapText="1"/>
    </xf>
    <xf numFmtId="0" fontId="10" fillId="0" borderId="1" xfId="13" applyFont="1" applyBorder="1" applyAlignment="1">
      <alignment horizontal="left" vertical="center" wrapText="1"/>
    </xf>
    <xf numFmtId="0" fontId="8" fillId="0" borderId="1" xfId="13" quotePrefix="1" applyFont="1" applyBorder="1" applyAlignment="1">
      <alignment horizontal="center" vertical="center" wrapText="1"/>
    </xf>
    <xf numFmtId="0" fontId="8" fillId="0" borderId="1" xfId="0" quotePrefix="1" applyFont="1" applyBorder="1" applyAlignment="1">
      <alignment horizontal="left" vertical="center" wrapText="1"/>
    </xf>
    <xf numFmtId="0" fontId="8" fillId="0" borderId="1" xfId="14" applyFont="1" applyBorder="1" applyAlignment="1">
      <alignment horizontal="center" vertical="center" wrapText="1"/>
    </xf>
    <xf numFmtId="0" fontId="9" fillId="0" borderId="1" xfId="13" applyFont="1" applyBorder="1" applyAlignment="1">
      <alignment horizontal="center" vertical="center" wrapText="1"/>
    </xf>
    <xf numFmtId="0" fontId="8" fillId="0" borderId="1" xfId="13" applyFont="1" applyBorder="1" applyAlignment="1">
      <alignment horizontal="center" vertical="center" wrapText="1"/>
    </xf>
    <xf numFmtId="0" fontId="11" fillId="0" borderId="1" xfId="13" applyFont="1" applyBorder="1" applyAlignment="1">
      <alignment horizontal="center" vertical="center" wrapText="1"/>
    </xf>
    <xf numFmtId="0" fontId="8" fillId="0" borderId="1" xfId="13" applyFont="1" applyBorder="1" applyAlignment="1">
      <alignment horizontal="left" vertical="center" wrapText="1"/>
    </xf>
    <xf numFmtId="0" fontId="10" fillId="0" borderId="1" xfId="0" quotePrefix="1" applyFont="1" applyBorder="1" applyAlignment="1">
      <alignment horizontal="left" vertical="center" wrapText="1"/>
    </xf>
    <xf numFmtId="0" fontId="8" fillId="4" borderId="1" xfId="14" applyFont="1" applyFill="1" applyBorder="1" applyAlignment="1">
      <alignment horizontal="center" vertical="center" wrapText="1"/>
    </xf>
    <xf numFmtId="167" fontId="8" fillId="4" borderId="1" xfId="9" applyNumberFormat="1" applyFont="1" applyFill="1" applyBorder="1" applyAlignment="1">
      <alignment horizontal="center" vertical="center" wrapText="1"/>
    </xf>
    <xf numFmtId="0" fontId="10" fillId="3" borderId="1" xfId="13" quotePrefix="1" applyFont="1" applyFill="1" applyBorder="1" applyAlignment="1">
      <alignment horizontal="center" vertical="center" wrapText="1"/>
    </xf>
    <xf numFmtId="0" fontId="11" fillId="5" borderId="1" xfId="13" applyFont="1" applyFill="1" applyBorder="1" applyAlignment="1">
      <alignment horizontal="center" vertical="center" wrapText="1"/>
    </xf>
    <xf numFmtId="0" fontId="8" fillId="5" borderId="1" xfId="13" applyFont="1" applyFill="1" applyBorder="1" applyAlignment="1">
      <alignment horizontal="center" vertical="center" wrapText="1"/>
    </xf>
    <xf numFmtId="0" fontId="10" fillId="5" borderId="1" xfId="13" applyFont="1" applyFill="1" applyBorder="1" applyAlignment="1">
      <alignment horizontal="center" vertical="center" wrapText="1"/>
    </xf>
    <xf numFmtId="0" fontId="10" fillId="5" borderId="1" xfId="13" applyFont="1" applyFill="1" applyBorder="1" applyAlignment="1">
      <alignment horizontal="left" vertical="center" wrapText="1"/>
    </xf>
    <xf numFmtId="0" fontId="10" fillId="3" borderId="1" xfId="13" applyFont="1" applyFill="1" applyBorder="1" applyAlignment="1">
      <alignment horizontal="center" vertical="center" wrapText="1"/>
    </xf>
    <xf numFmtId="0" fontId="10" fillId="3" borderId="1" xfId="13" applyFont="1" applyFill="1" applyBorder="1" applyAlignment="1">
      <alignment horizontal="left" vertical="center" wrapText="1"/>
    </xf>
    <xf numFmtId="0" fontId="10" fillId="2" borderId="1" xfId="13" applyFont="1" applyFill="1" applyBorder="1" applyAlignment="1">
      <alignment horizontal="center" vertical="center" wrapText="1"/>
    </xf>
    <xf numFmtId="0" fontId="19" fillId="0" borderId="1" xfId="0" applyFont="1" applyBorder="1" applyAlignment="1">
      <alignment horizontal="center" vertical="center" wrapText="1"/>
    </xf>
    <xf numFmtId="0" fontId="13" fillId="6" borderId="1" xfId="0" applyFont="1" applyFill="1" applyBorder="1" applyAlignment="1">
      <alignment horizontal="center" vertical="center" wrapText="1"/>
    </xf>
    <xf numFmtId="0" fontId="7" fillId="0" borderId="1" xfId="1" applyFont="1" applyBorder="1" applyAlignment="1">
      <alignment horizontal="center" vertical="center" wrapText="1"/>
    </xf>
    <xf numFmtId="3" fontId="8" fillId="4" borderId="1" xfId="4" applyNumberFormat="1" applyFont="1" applyFill="1" applyBorder="1" applyAlignment="1">
      <alignment horizontal="center" vertical="center" wrapText="1"/>
    </xf>
    <xf numFmtId="0" fontId="7" fillId="0" borderId="1" xfId="1" applyFont="1" applyBorder="1" applyAlignment="1">
      <alignment horizontal="left" vertical="center" wrapText="1"/>
    </xf>
    <xf numFmtId="0" fontId="8" fillId="0" borderId="0" xfId="13" applyFont="1" applyAlignment="1">
      <alignment horizontal="left" vertical="center" wrapText="1"/>
    </xf>
    <xf numFmtId="0" fontId="11" fillId="0" borderId="1" xfId="13" quotePrefix="1" applyFont="1" applyBorder="1" applyAlignment="1">
      <alignment horizontal="left" vertical="center" wrapText="1"/>
    </xf>
    <xf numFmtId="0" fontId="9" fillId="0" borderId="0" xfId="13" applyFont="1" applyAlignment="1">
      <alignment horizontal="left" vertical="center" wrapText="1"/>
    </xf>
    <xf numFmtId="3" fontId="8" fillId="0" borderId="1" xfId="0" applyNumberFormat="1" applyFont="1" applyBorder="1" applyAlignment="1">
      <alignment horizontal="left" vertical="center" wrapText="1"/>
    </xf>
    <xf numFmtId="0" fontId="7" fillId="0" borderId="0" xfId="0" applyFont="1" applyAlignment="1">
      <alignment horizontal="center" vertical="center"/>
    </xf>
    <xf numFmtId="0" fontId="11" fillId="0" borderId="1" xfId="1" applyFont="1" applyBorder="1" applyAlignment="1">
      <alignment horizontal="center" vertical="center" wrapText="1"/>
    </xf>
    <xf numFmtId="0" fontId="7" fillId="0" borderId="0" xfId="0" applyFont="1" applyAlignment="1">
      <alignment horizontal="left" vertical="center"/>
    </xf>
    <xf numFmtId="43" fontId="8" fillId="0" borderId="1" xfId="5" quotePrefix="1" applyFont="1" applyFill="1" applyBorder="1" applyAlignment="1">
      <alignment horizontal="left" vertical="center" wrapText="1"/>
    </xf>
    <xf numFmtId="0" fontId="13" fillId="5" borderId="1" xfId="0" applyFont="1" applyFill="1" applyBorder="1" applyAlignment="1">
      <alignment horizontal="left" vertical="center" wrapText="1"/>
    </xf>
    <xf numFmtId="43" fontId="8" fillId="5" borderId="1" xfId="5" quotePrefix="1" applyFont="1" applyFill="1" applyBorder="1" applyAlignment="1">
      <alignment horizontal="left" vertical="center" wrapText="1"/>
    </xf>
    <xf numFmtId="3" fontId="8" fillId="0" borderId="1" xfId="1" applyNumberFormat="1" applyFont="1" applyBorder="1" applyAlignment="1">
      <alignment horizontal="left" vertical="center" wrapText="1"/>
    </xf>
    <xf numFmtId="0" fontId="8" fillId="0" borderId="1" xfId="6" applyFont="1" applyBorder="1" applyAlignment="1">
      <alignment horizontal="left" vertical="center" wrapText="1"/>
    </xf>
    <xf numFmtId="0" fontId="8" fillId="2" borderId="1" xfId="1" applyFont="1" applyFill="1" applyBorder="1" applyAlignment="1">
      <alignment horizontal="left" vertical="center" wrapText="1"/>
    </xf>
    <xf numFmtId="0" fontId="8" fillId="5" borderId="1" xfId="4" applyFont="1" applyFill="1" applyBorder="1" applyAlignment="1">
      <alignment horizontal="left" vertical="center" wrapText="1"/>
    </xf>
    <xf numFmtId="49" fontId="13" fillId="2" borderId="1" xfId="0" applyNumberFormat="1" applyFont="1" applyFill="1" applyBorder="1" applyAlignment="1">
      <alignment horizontal="left" vertical="center" wrapText="1"/>
    </xf>
    <xf numFmtId="49" fontId="7" fillId="2" borderId="1" xfId="0" applyNumberFormat="1" applyFont="1" applyFill="1" applyBorder="1" applyAlignment="1">
      <alignment horizontal="left" vertical="center" wrapText="1"/>
    </xf>
    <xf numFmtId="49" fontId="8" fillId="0" borderId="1" xfId="8" applyNumberFormat="1" applyFont="1" applyBorder="1" applyAlignment="1">
      <alignment horizontal="left" vertical="center" wrapText="1"/>
    </xf>
    <xf numFmtId="0" fontId="10" fillId="3" borderId="1" xfId="1" quotePrefix="1" applyFont="1" applyFill="1" applyBorder="1" applyAlignment="1">
      <alignment horizontal="center" vertical="center" wrapText="1"/>
    </xf>
    <xf numFmtId="0" fontId="8" fillId="3" borderId="1" xfId="1" applyFont="1" applyFill="1" applyBorder="1" applyAlignment="1">
      <alignment horizontal="center" vertical="center" wrapText="1"/>
    </xf>
    <xf numFmtId="0" fontId="8" fillId="0" borderId="0" xfId="1" applyFont="1" applyAlignment="1">
      <alignment horizontal="left" vertical="center" wrapText="1"/>
    </xf>
    <xf numFmtId="171" fontId="7" fillId="0" borderId="1" xfId="5" applyNumberFormat="1" applyFont="1" applyFill="1" applyBorder="1" applyAlignment="1">
      <alignment horizontal="left" vertical="center" wrapText="1"/>
    </xf>
    <xf numFmtId="0" fontId="14" fillId="0" borderId="1" xfId="0" quotePrefix="1" applyFont="1" applyBorder="1" applyAlignment="1">
      <alignment horizontal="left" vertical="center" wrapText="1"/>
    </xf>
    <xf numFmtId="169" fontId="7" fillId="0" borderId="1" xfId="0" applyNumberFormat="1" applyFont="1" applyBorder="1" applyAlignment="1">
      <alignment horizontal="left" vertical="center" wrapText="1"/>
    </xf>
    <xf numFmtId="0" fontId="7" fillId="0" borderId="1" xfId="0" quotePrefix="1" applyFont="1" applyBorder="1" applyAlignment="1">
      <alignment horizontal="left" vertical="center" wrapText="1"/>
    </xf>
    <xf numFmtId="0" fontId="13" fillId="0" borderId="1" xfId="0" applyFont="1" applyBorder="1" applyAlignment="1">
      <alignment horizontal="left" vertical="center" wrapText="1"/>
    </xf>
    <xf numFmtId="0" fontId="13" fillId="6" borderId="1" xfId="0" applyFont="1" applyFill="1" applyBorder="1" applyAlignment="1">
      <alignment horizontal="left" vertical="center" wrapText="1"/>
    </xf>
    <xf numFmtId="0" fontId="8" fillId="5" borderId="1" xfId="6" quotePrefix="1" applyFont="1" applyFill="1" applyBorder="1" applyAlignment="1">
      <alignment horizontal="left" vertical="center" wrapText="1"/>
    </xf>
    <xf numFmtId="0" fontId="8" fillId="5" borderId="1" xfId="0" quotePrefix="1" applyFont="1" applyFill="1" applyBorder="1" applyAlignment="1">
      <alignment horizontal="left" vertical="center" wrapText="1"/>
    </xf>
    <xf numFmtId="0" fontId="10" fillId="0" borderId="0" xfId="1" applyFont="1" applyAlignment="1">
      <alignment horizontal="left" vertical="center" wrapText="1"/>
    </xf>
    <xf numFmtId="0" fontId="8" fillId="2" borderId="1" xfId="0" applyFont="1" applyFill="1" applyBorder="1" applyAlignment="1">
      <alignment horizontal="left" vertical="center" wrapText="1"/>
    </xf>
    <xf numFmtId="0" fontId="8" fillId="2" borderId="0" xfId="1" applyFont="1" applyFill="1" applyAlignment="1">
      <alignment horizontal="left" vertical="center" wrapText="1"/>
    </xf>
    <xf numFmtId="169" fontId="8" fillId="0" borderId="1" xfId="1" applyNumberFormat="1" applyFont="1" applyBorder="1" applyAlignment="1">
      <alignment horizontal="left" vertical="center" wrapText="1"/>
    </xf>
    <xf numFmtId="0" fontId="17" fillId="0" borderId="0" xfId="1" applyFont="1" applyAlignment="1">
      <alignment horizontal="center" vertical="center" wrapText="1"/>
    </xf>
    <xf numFmtId="0" fontId="8" fillId="3" borderId="1" xfId="13" applyFont="1" applyFill="1" applyBorder="1" applyAlignment="1">
      <alignment horizontal="center" vertical="center" wrapText="1"/>
    </xf>
    <xf numFmtId="173" fontId="7" fillId="0" borderId="1" xfId="1" applyNumberFormat="1" applyFont="1" applyBorder="1" applyAlignment="1">
      <alignment horizontal="center" vertical="center" wrapText="1"/>
    </xf>
    <xf numFmtId="0" fontId="8" fillId="2" borderId="1" xfId="4" applyFont="1" applyFill="1" applyBorder="1" applyAlignment="1">
      <alignment horizontal="left" vertical="center" wrapText="1"/>
    </xf>
    <xf numFmtId="0" fontId="8" fillId="5" borderId="1" xfId="13" quotePrefix="1" applyFont="1" applyFill="1" applyBorder="1" applyAlignment="1">
      <alignment horizontal="center" vertical="center" wrapText="1"/>
    </xf>
    <xf numFmtId="0" fontId="11" fillId="5" borderId="1" xfId="1" applyFont="1" applyFill="1" applyBorder="1" applyAlignment="1">
      <alignment horizontal="center" vertical="center" wrapText="1"/>
    </xf>
    <xf numFmtId="0" fontId="12" fillId="0" borderId="0" xfId="13" applyFont="1" applyAlignment="1">
      <alignment horizontal="center" vertical="center" wrapText="1"/>
    </xf>
    <xf numFmtId="0" fontId="8" fillId="7" borderId="1" xfId="1" applyFont="1" applyFill="1" applyBorder="1" applyAlignment="1">
      <alignment vertical="center" wrapText="1"/>
    </xf>
    <xf numFmtId="0" fontId="8" fillId="7" borderId="1" xfId="1" applyFont="1" applyFill="1" applyBorder="1" applyAlignment="1">
      <alignment horizontal="center" vertical="center" wrapText="1"/>
    </xf>
    <xf numFmtId="167" fontId="8" fillId="7" borderId="1" xfId="9" applyNumberFormat="1" applyFont="1" applyFill="1" applyBorder="1" applyAlignment="1">
      <alignment horizontal="center" vertical="center" wrapText="1"/>
    </xf>
    <xf numFmtId="0" fontId="8" fillId="7" borderId="1" xfId="1" quotePrefix="1" applyFont="1" applyFill="1" applyBorder="1" applyAlignment="1">
      <alignment horizontal="left" vertical="center" wrapText="1"/>
    </xf>
    <xf numFmtId="0" fontId="9" fillId="7" borderId="2" xfId="1" applyFont="1" applyFill="1" applyBorder="1" applyAlignment="1">
      <alignment horizontal="center" vertical="center" wrapText="1"/>
    </xf>
    <xf numFmtId="0" fontId="7" fillId="7" borderId="1" xfId="0" applyFont="1" applyFill="1" applyBorder="1" applyAlignment="1">
      <alignment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center" vertical="center"/>
    </xf>
    <xf numFmtId="167" fontId="7" fillId="7" borderId="1" xfId="9" applyNumberFormat="1" applyFont="1" applyFill="1" applyBorder="1" applyAlignment="1">
      <alignment horizontal="center" vertical="center"/>
    </xf>
    <xf numFmtId="0" fontId="7" fillId="7" borderId="1" xfId="0" quotePrefix="1" applyFont="1" applyFill="1" applyBorder="1" applyAlignment="1">
      <alignment horizontal="left" vertical="center" wrapText="1"/>
    </xf>
    <xf numFmtId="0" fontId="7" fillId="7" borderId="2" xfId="0" applyFont="1" applyFill="1" applyBorder="1" applyAlignment="1">
      <alignment horizontal="center" vertical="center"/>
    </xf>
    <xf numFmtId="0" fontId="8" fillId="7" borderId="1" xfId="1" applyFont="1" applyFill="1" applyBorder="1" applyAlignment="1">
      <alignment horizontal="left" vertical="center" wrapText="1"/>
    </xf>
    <xf numFmtId="0" fontId="8" fillId="7" borderId="2" xfId="1" applyFont="1" applyFill="1" applyBorder="1" applyAlignment="1">
      <alignment horizontal="center" vertical="center" wrapText="1"/>
    </xf>
    <xf numFmtId="3" fontId="8" fillId="7" borderId="1" xfId="1" applyNumberFormat="1" applyFont="1" applyFill="1" applyBorder="1" applyAlignment="1">
      <alignment horizontal="center" vertical="center" wrapText="1"/>
    </xf>
    <xf numFmtId="3" fontId="8" fillId="7" borderId="2" xfId="1" applyNumberFormat="1" applyFont="1" applyFill="1" applyBorder="1" applyAlignment="1">
      <alignment vertical="center" wrapText="1"/>
    </xf>
    <xf numFmtId="0" fontId="8" fillId="7" borderId="1" xfId="0" applyFont="1" applyFill="1" applyBorder="1" applyAlignment="1">
      <alignment horizontal="center" vertical="center"/>
    </xf>
    <xf numFmtId="167" fontId="8" fillId="7" borderId="1" xfId="9" applyNumberFormat="1" applyFont="1" applyFill="1" applyBorder="1" applyAlignment="1">
      <alignment horizontal="center" vertical="center"/>
    </xf>
    <xf numFmtId="0" fontId="7" fillId="7" borderId="1" xfId="0" quotePrefix="1" applyFont="1" applyFill="1" applyBorder="1" applyAlignment="1">
      <alignment vertical="center" wrapText="1"/>
    </xf>
    <xf numFmtId="0" fontId="8" fillId="7" borderId="2" xfId="0" applyFont="1" applyFill="1" applyBorder="1" applyAlignment="1">
      <alignment vertical="center"/>
    </xf>
    <xf numFmtId="0" fontId="8" fillId="7" borderId="1" xfId="1" quotePrefix="1" applyFont="1" applyFill="1" applyBorder="1" applyAlignment="1">
      <alignment horizontal="center" vertical="center" wrapText="1"/>
    </xf>
    <xf numFmtId="170" fontId="8" fillId="7" borderId="1" xfId="1" quotePrefix="1" applyNumberFormat="1" applyFont="1" applyFill="1" applyBorder="1" applyAlignment="1">
      <alignment horizontal="center" vertical="center" wrapText="1"/>
    </xf>
    <xf numFmtId="0" fontId="12" fillId="0" borderId="0" xfId="13" applyFont="1" applyAlignment="1">
      <alignment horizontal="center" vertical="center" wrapText="1"/>
    </xf>
    <xf numFmtId="0" fontId="8" fillId="0" borderId="1" xfId="13" quotePrefix="1" applyFont="1" applyBorder="1" applyAlignment="1">
      <alignment horizontal="left" vertical="center" wrapText="1"/>
    </xf>
    <xf numFmtId="0" fontId="10" fillId="3" borderId="1" xfId="0" applyFont="1" applyFill="1" applyBorder="1" applyAlignment="1">
      <alignment horizontal="left" vertical="center" wrapText="1"/>
    </xf>
    <xf numFmtId="0" fontId="10" fillId="3" borderId="1" xfId="13" applyFont="1" applyFill="1" applyBorder="1" applyAlignment="1">
      <alignment horizontal="left" vertical="center" wrapText="1"/>
    </xf>
    <xf numFmtId="0" fontId="11" fillId="0" borderId="1" xfId="13" quotePrefix="1" applyFont="1" applyBorder="1" applyAlignment="1">
      <alignment horizontal="left" vertical="center" wrapText="1"/>
    </xf>
    <xf numFmtId="0" fontId="7" fillId="0" borderId="1" xfId="0" applyFont="1" applyBorder="1" applyAlignment="1">
      <alignment horizontal="center" vertical="center" wrapText="1"/>
    </xf>
    <xf numFmtId="0" fontId="8" fillId="0" borderId="1" xfId="13" applyFont="1" applyBorder="1" applyAlignment="1">
      <alignment horizontal="left" vertical="center" wrapText="1"/>
    </xf>
    <xf numFmtId="0" fontId="11" fillId="3" borderId="2" xfId="6" applyFont="1" applyFill="1" applyBorder="1" applyAlignment="1">
      <alignment horizontal="left" vertical="center" wrapText="1"/>
    </xf>
    <xf numFmtId="0" fontId="11" fillId="3" borderId="3" xfId="6" applyFont="1" applyFill="1" applyBorder="1" applyAlignment="1">
      <alignment horizontal="left" vertical="center" wrapText="1"/>
    </xf>
    <xf numFmtId="0" fontId="11" fillId="3" borderId="4" xfId="6" applyFont="1" applyFill="1" applyBorder="1" applyAlignment="1">
      <alignment horizontal="left" vertical="center" wrapText="1"/>
    </xf>
    <xf numFmtId="0" fontId="11" fillId="3" borderId="2" xfId="1" applyFont="1" applyFill="1" applyBorder="1" applyAlignment="1">
      <alignment horizontal="left" vertical="center" wrapText="1"/>
    </xf>
    <xf numFmtId="0" fontId="11" fillId="3" borderId="3" xfId="1" applyFont="1" applyFill="1" applyBorder="1" applyAlignment="1">
      <alignment horizontal="left" vertical="center" wrapText="1"/>
    </xf>
    <xf numFmtId="0" fontId="11" fillId="3" borderId="4" xfId="1" applyFont="1" applyFill="1" applyBorder="1" applyAlignment="1">
      <alignment horizontal="left" vertical="center" wrapText="1"/>
    </xf>
    <xf numFmtId="0" fontId="21" fillId="0" borderId="0" xfId="0" applyFont="1" applyAlignment="1">
      <alignment horizontal="center" vertical="center" wrapText="1"/>
    </xf>
    <xf numFmtId="0" fontId="21" fillId="0" borderId="0" xfId="0" applyFont="1" applyAlignment="1">
      <alignment horizontal="center" vertical="center"/>
    </xf>
    <xf numFmtId="0" fontId="10" fillId="3" borderId="1" xfId="1" applyFont="1" applyFill="1" applyBorder="1" applyAlignment="1">
      <alignment horizontal="left" vertical="center" wrapText="1"/>
    </xf>
    <xf numFmtId="0" fontId="16" fillId="3" borderId="1" xfId="0" applyFont="1" applyFill="1" applyBorder="1" applyAlignment="1">
      <alignment horizontal="left" vertical="center" wrapText="1"/>
    </xf>
    <xf numFmtId="0" fontId="12" fillId="0" borderId="0" xfId="1" applyFont="1" applyAlignment="1">
      <alignment horizontal="center" vertical="center" wrapText="1"/>
    </xf>
    <xf numFmtId="0" fontId="10" fillId="3" borderId="2" xfId="1" applyFont="1" applyFill="1" applyBorder="1" applyAlignment="1">
      <alignment horizontal="left" vertical="center" wrapText="1"/>
    </xf>
    <xf numFmtId="0" fontId="10" fillId="3" borderId="3" xfId="1" applyFont="1" applyFill="1" applyBorder="1" applyAlignment="1">
      <alignment horizontal="left" vertical="center" wrapText="1"/>
    </xf>
    <xf numFmtId="0" fontId="10" fillId="3" borderId="4" xfId="1" applyFont="1" applyFill="1" applyBorder="1" applyAlignment="1">
      <alignment horizontal="left" vertical="center" wrapText="1"/>
    </xf>
    <xf numFmtId="0" fontId="7" fillId="2" borderId="1" xfId="0" applyFont="1" applyFill="1" applyBorder="1" applyAlignment="1">
      <alignment vertical="center" wrapText="1"/>
    </xf>
    <xf numFmtId="0" fontId="7" fillId="2" borderId="1" xfId="0" applyFont="1" applyFill="1" applyBorder="1" applyAlignment="1">
      <alignment horizontal="center" vertical="center"/>
    </xf>
    <xf numFmtId="3" fontId="7" fillId="2" borderId="1" xfId="0" applyNumberFormat="1" applyFont="1" applyFill="1" applyBorder="1" applyAlignment="1">
      <alignment horizontal="center" vertical="center"/>
    </xf>
    <xf numFmtId="0" fontId="0" fillId="2" borderId="1" xfId="0" applyFill="1" applyBorder="1" applyAlignment="1">
      <alignment vertical="center" wrapText="1"/>
    </xf>
    <xf numFmtId="0" fontId="8" fillId="2" borderId="1" xfId="1" quotePrefix="1" applyFont="1" applyFill="1" applyBorder="1" applyAlignment="1">
      <alignment horizontal="left" vertical="center" wrapText="1"/>
    </xf>
    <xf numFmtId="166" fontId="8" fillId="2" borderId="1" xfId="2" applyNumberFormat="1" applyFont="1" applyFill="1" applyBorder="1" applyAlignment="1">
      <alignment horizontal="center" vertical="center" wrapText="1" shrinkToFit="1"/>
    </xf>
    <xf numFmtId="0" fontId="8" fillId="2" borderId="1" xfId="1" applyFont="1" applyFill="1" applyBorder="1" applyAlignment="1">
      <alignment vertical="center" wrapText="1"/>
    </xf>
  </cellXfs>
  <cellStyles count="24">
    <cellStyle name="Comma" xfId="9" builtinId="3"/>
    <cellStyle name="Comma [0] 2" xfId="17" xr:uid="{10F726E1-1497-4544-B305-5D270C418067}"/>
    <cellStyle name="Comma [0] 3" xfId="18" xr:uid="{A7F08F4A-D58D-4451-AC5D-9F2CA9B362CB}"/>
    <cellStyle name="Comma [0] 4" xfId="7" xr:uid="{00000000-0005-0000-0000-000001000000}"/>
    <cellStyle name="Comma 10" xfId="5" xr:uid="{00000000-0005-0000-0000-000002000000}"/>
    <cellStyle name="Comma 15" xfId="10" xr:uid="{00000000-0005-0000-0000-000003000000}"/>
    <cellStyle name="Comma 2" xfId="2" xr:uid="{00000000-0005-0000-0000-000004000000}"/>
    <cellStyle name="Comma 2 2" xfId="19" xr:uid="{F054A562-8493-46ED-BC8D-4EDF44A9F209}"/>
    <cellStyle name="Comma 3" xfId="20" xr:uid="{936899D5-27ED-4405-8D14-ED91ED097BB1}"/>
    <cellStyle name="Comma 4" xfId="16" xr:uid="{24C38D43-DB00-407F-BDA6-1926089D1233}"/>
    <cellStyle name="Currency 2" xfId="21" xr:uid="{5F1B8143-E6E2-4059-B837-62B2E3E2BBC6}"/>
    <cellStyle name="Normal" xfId="0" builtinId="0"/>
    <cellStyle name="Normal 2" xfId="1" xr:uid="{00000000-0005-0000-0000-000006000000}"/>
    <cellStyle name="Normal 2 2" xfId="6" xr:uid="{00000000-0005-0000-0000-000007000000}"/>
    <cellStyle name="Normal 2 3" xfId="11" xr:uid="{00000000-0005-0000-0000-000008000000}"/>
    <cellStyle name="Normal 2 4" xfId="13" xr:uid="{CFB109D7-F22D-47E6-BD2A-1015749FA3BA}"/>
    <cellStyle name="Normal 3" xfId="22" xr:uid="{61C1C122-662E-45A7-B215-E8AA6738B589}"/>
    <cellStyle name="Normal 3 2" xfId="3" xr:uid="{00000000-0005-0000-0000-000009000000}"/>
    <cellStyle name="Normal 4" xfId="4" xr:uid="{00000000-0005-0000-0000-00000A000000}"/>
    <cellStyle name="Normal 4 2" xfId="12" xr:uid="{00000000-0005-0000-0000-00000B000000}"/>
    <cellStyle name="Normal 4 2 2" xfId="14" xr:uid="{9AD55633-C629-456F-AC43-8D3431BCAA4C}"/>
    <cellStyle name="Normal 5" xfId="23" xr:uid="{5C8D1F5F-4636-4E79-B2F7-129A15912D0F}"/>
    <cellStyle name="Normal 6" xfId="15" xr:uid="{477EEE7B-CB57-4025-B238-0B3FE23DE4BE}"/>
    <cellStyle name="Normal_Sheet1" xfId="8" xr:uid="{00000000-0005-0000-0000-00000C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FA23F-31BB-41BD-A054-BC731A1DD804}">
  <sheetPr>
    <tabColor rgb="FFFFC000"/>
  </sheetPr>
  <dimension ref="A1:L56"/>
  <sheetViews>
    <sheetView zoomScale="90" zoomScaleNormal="90" workbookViewId="0">
      <pane xSplit="1" ySplit="6" topLeftCell="B54" activePane="bottomRight" state="frozen"/>
      <selection pane="topRight" activeCell="B1" sqref="B1"/>
      <selection pane="bottomLeft" activeCell="A4" sqref="A4"/>
      <selection pane="bottomRight" activeCell="D6" sqref="D6"/>
    </sheetView>
  </sheetViews>
  <sheetFormatPr defaultColWidth="11" defaultRowHeight="15" x14ac:dyDescent="0.25"/>
  <cols>
    <col min="1" max="1" width="5.7109375" style="71" customWidth="1"/>
    <col min="2" max="2" width="20.7109375" style="98" customWidth="1"/>
    <col min="3" max="3" width="14.140625" style="71" customWidth="1"/>
    <col min="4" max="4" width="9.7109375" style="71" customWidth="1"/>
    <col min="5" max="5" width="10.85546875" style="72" customWidth="1"/>
    <col min="6" max="6" width="16.7109375" style="71" customWidth="1"/>
    <col min="7" max="7" width="23" style="71" customWidth="1"/>
    <col min="8" max="8" width="13.5703125" style="71" customWidth="1"/>
    <col min="9" max="9" width="43.7109375" style="98" customWidth="1"/>
    <col min="10" max="12" width="16.5703125" style="71" customWidth="1"/>
    <col min="13" max="13" width="15.28515625" style="98" customWidth="1"/>
    <col min="14" max="16384" width="11" style="98"/>
  </cols>
  <sheetData>
    <row r="1" spans="1:12" s="71" customFormat="1" x14ac:dyDescent="0.25">
      <c r="E1" s="72"/>
    </row>
    <row r="2" spans="1:12" s="71" customFormat="1" ht="22.5" customHeight="1" x14ac:dyDescent="0.25">
      <c r="A2" s="158" t="s">
        <v>1067</v>
      </c>
      <c r="B2" s="158"/>
      <c r="C2" s="158"/>
      <c r="D2" s="158"/>
      <c r="E2" s="158"/>
      <c r="F2" s="158"/>
      <c r="G2" s="158"/>
      <c r="H2" s="158"/>
      <c r="I2" s="158"/>
      <c r="J2" s="158"/>
      <c r="K2" s="158"/>
      <c r="L2" s="158"/>
    </row>
    <row r="3" spans="1:12" s="71" customFormat="1" ht="20.25" customHeight="1" x14ac:dyDescent="0.25">
      <c r="A3" s="136"/>
      <c r="B3" s="158" t="s">
        <v>1064</v>
      </c>
      <c r="C3" s="158"/>
      <c r="D3" s="158"/>
      <c r="E3" s="158"/>
      <c r="F3" s="158"/>
      <c r="G3" s="158"/>
      <c r="H3" s="158"/>
      <c r="I3" s="158"/>
      <c r="J3" s="158"/>
      <c r="K3" s="158"/>
      <c r="L3" s="158"/>
    </row>
    <row r="4" spans="1:12" s="71" customFormat="1" ht="20.25" customHeight="1" x14ac:dyDescent="0.25">
      <c r="A4" s="136"/>
      <c r="B4" s="158" t="s">
        <v>1065</v>
      </c>
      <c r="C4" s="158"/>
      <c r="D4" s="158"/>
      <c r="E4" s="158"/>
      <c r="F4" s="158"/>
      <c r="G4" s="158"/>
      <c r="H4" s="158"/>
      <c r="I4" s="158"/>
      <c r="J4" s="158"/>
      <c r="K4" s="158"/>
      <c r="L4" s="158"/>
    </row>
    <row r="5" spans="1:12" s="71" customFormat="1" x14ac:dyDescent="0.25">
      <c r="E5" s="72"/>
    </row>
    <row r="6" spans="1:12" s="71" customFormat="1" ht="74.25" customHeight="1" x14ac:dyDescent="0.25">
      <c r="A6" s="73" t="s">
        <v>114</v>
      </c>
      <c r="B6" s="92" t="s">
        <v>113</v>
      </c>
      <c r="C6" s="92" t="s">
        <v>112</v>
      </c>
      <c r="D6" s="92" t="s">
        <v>111</v>
      </c>
      <c r="E6" s="2" t="s">
        <v>110</v>
      </c>
      <c r="F6" s="92" t="s">
        <v>109</v>
      </c>
      <c r="G6" s="92" t="s">
        <v>108</v>
      </c>
      <c r="H6" s="92" t="s">
        <v>107</v>
      </c>
      <c r="I6" s="92" t="s">
        <v>106</v>
      </c>
      <c r="J6" s="92" t="s">
        <v>105</v>
      </c>
      <c r="K6" s="92" t="s">
        <v>1033</v>
      </c>
      <c r="L6" s="73" t="s">
        <v>632</v>
      </c>
    </row>
    <row r="7" spans="1:12" s="71" customFormat="1" x14ac:dyDescent="0.25">
      <c r="A7" s="78">
        <v>1</v>
      </c>
      <c r="B7" s="78">
        <v>2</v>
      </c>
      <c r="C7" s="78">
        <v>3</v>
      </c>
      <c r="D7" s="79">
        <v>4</v>
      </c>
      <c r="E7" s="5">
        <v>5</v>
      </c>
      <c r="F7" s="78">
        <v>6</v>
      </c>
      <c r="G7" s="78">
        <v>7</v>
      </c>
      <c r="H7" s="78">
        <v>8</v>
      </c>
      <c r="I7" s="78">
        <v>9</v>
      </c>
      <c r="J7" s="79">
        <v>10</v>
      </c>
      <c r="K7" s="78">
        <v>11</v>
      </c>
      <c r="L7" s="79"/>
    </row>
    <row r="8" spans="1:12" x14ac:dyDescent="0.25">
      <c r="A8" s="85" t="s">
        <v>104</v>
      </c>
      <c r="B8" s="161" t="s">
        <v>1032</v>
      </c>
      <c r="C8" s="161"/>
      <c r="D8" s="161"/>
      <c r="E8" s="161"/>
      <c r="F8" s="161"/>
      <c r="G8" s="90"/>
      <c r="H8" s="90"/>
      <c r="I8" s="91"/>
      <c r="J8" s="90"/>
      <c r="K8" s="90"/>
      <c r="L8" s="131"/>
    </row>
    <row r="9" spans="1:12" ht="102" customHeight="1" x14ac:dyDescent="0.25">
      <c r="A9" s="75">
        <v>1</v>
      </c>
      <c r="B9" s="8" t="s">
        <v>1031</v>
      </c>
      <c r="C9" s="9" t="s">
        <v>182</v>
      </c>
      <c r="D9" s="77">
        <v>273</v>
      </c>
      <c r="E9" s="20">
        <v>4500</v>
      </c>
      <c r="F9" s="79" t="s">
        <v>875</v>
      </c>
      <c r="G9" s="79" t="s">
        <v>1055</v>
      </c>
      <c r="H9" s="9" t="s">
        <v>1001</v>
      </c>
      <c r="I9" s="159" t="s">
        <v>1030</v>
      </c>
      <c r="J9" s="79" t="s">
        <v>52</v>
      </c>
      <c r="K9" s="79"/>
      <c r="L9" s="14"/>
    </row>
    <row r="10" spans="1:12" ht="102" customHeight="1" x14ac:dyDescent="0.25">
      <c r="A10" s="75">
        <v>2</v>
      </c>
      <c r="B10" s="8" t="s">
        <v>1029</v>
      </c>
      <c r="C10" s="9" t="s">
        <v>182</v>
      </c>
      <c r="D10" s="77">
        <v>233</v>
      </c>
      <c r="E10" s="20">
        <v>4334</v>
      </c>
      <c r="F10" s="79" t="s">
        <v>875</v>
      </c>
      <c r="G10" s="79" t="s">
        <v>1056</v>
      </c>
      <c r="H10" s="9" t="s">
        <v>1001</v>
      </c>
      <c r="I10" s="159"/>
      <c r="J10" s="79" t="s">
        <v>52</v>
      </c>
      <c r="K10" s="79"/>
      <c r="L10" s="14"/>
    </row>
    <row r="11" spans="1:12" ht="120" x14ac:dyDescent="0.25">
      <c r="A11" s="134">
        <v>3</v>
      </c>
      <c r="B11" s="58" t="s">
        <v>569</v>
      </c>
      <c r="C11" s="17" t="s">
        <v>504</v>
      </c>
      <c r="D11" s="17" t="s">
        <v>505</v>
      </c>
      <c r="E11" s="62">
        <v>3520</v>
      </c>
      <c r="F11" s="17" t="s">
        <v>506</v>
      </c>
      <c r="G11" s="17" t="s">
        <v>665</v>
      </c>
      <c r="H11" s="17" t="s">
        <v>507</v>
      </c>
      <c r="I11" s="89"/>
      <c r="J11" s="87" t="s">
        <v>666</v>
      </c>
      <c r="K11" s="88"/>
      <c r="L11" s="87" t="s">
        <v>664</v>
      </c>
    </row>
    <row r="12" spans="1:12" ht="45" x14ac:dyDescent="0.25">
      <c r="A12" s="75">
        <v>4</v>
      </c>
      <c r="B12" s="8" t="s">
        <v>151</v>
      </c>
      <c r="C12" s="9" t="s">
        <v>452</v>
      </c>
      <c r="D12" s="9" t="s">
        <v>160</v>
      </c>
      <c r="E12" s="20">
        <v>3120</v>
      </c>
      <c r="F12" s="14"/>
      <c r="G12" s="14"/>
      <c r="H12" s="9" t="s">
        <v>326</v>
      </c>
      <c r="I12" s="74"/>
      <c r="J12" s="73"/>
      <c r="K12" s="73"/>
      <c r="L12" s="79"/>
    </row>
    <row r="13" spans="1:12" s="100" customFormat="1" ht="120" x14ac:dyDescent="0.25">
      <c r="A13" s="75">
        <v>5</v>
      </c>
      <c r="B13" s="8" t="s">
        <v>140</v>
      </c>
      <c r="C13" s="9" t="s">
        <v>141</v>
      </c>
      <c r="D13" s="77" t="s">
        <v>154</v>
      </c>
      <c r="E13" s="20">
        <v>3000</v>
      </c>
      <c r="F13" s="79" t="s">
        <v>329</v>
      </c>
      <c r="G13" s="79" t="s">
        <v>330</v>
      </c>
      <c r="H13" s="9" t="s">
        <v>322</v>
      </c>
      <c r="I13" s="162" t="s">
        <v>1028</v>
      </c>
      <c r="J13" s="73"/>
      <c r="K13" s="80"/>
      <c r="L13" s="78"/>
    </row>
    <row r="14" spans="1:12" s="100" customFormat="1" ht="45" x14ac:dyDescent="0.25">
      <c r="A14" s="75">
        <v>6</v>
      </c>
      <c r="B14" s="8" t="s">
        <v>142</v>
      </c>
      <c r="C14" s="9" t="s">
        <v>289</v>
      </c>
      <c r="D14" s="77" t="s">
        <v>154</v>
      </c>
      <c r="E14" s="20">
        <v>3000</v>
      </c>
      <c r="F14" s="79"/>
      <c r="G14" s="79"/>
      <c r="H14" s="9" t="s">
        <v>322</v>
      </c>
      <c r="I14" s="162"/>
      <c r="J14" s="73"/>
      <c r="K14" s="80"/>
      <c r="L14" s="78"/>
    </row>
    <row r="15" spans="1:12" s="100" customFormat="1" ht="30" x14ac:dyDescent="0.25">
      <c r="A15" s="75">
        <v>7</v>
      </c>
      <c r="B15" s="8" t="s">
        <v>143</v>
      </c>
      <c r="C15" s="9" t="s">
        <v>39</v>
      </c>
      <c r="D15" s="77" t="s">
        <v>154</v>
      </c>
      <c r="E15" s="20">
        <v>3000</v>
      </c>
      <c r="F15" s="79"/>
      <c r="G15" s="79"/>
      <c r="H15" s="9" t="s">
        <v>322</v>
      </c>
      <c r="I15" s="162"/>
      <c r="J15" s="73"/>
      <c r="K15" s="80"/>
      <c r="L15" s="78"/>
    </row>
    <row r="16" spans="1:12" s="100" customFormat="1" ht="60" x14ac:dyDescent="0.25">
      <c r="A16" s="75">
        <v>8</v>
      </c>
      <c r="B16" s="8" t="s">
        <v>146</v>
      </c>
      <c r="C16" s="9" t="s">
        <v>448</v>
      </c>
      <c r="D16" s="9" t="s">
        <v>156</v>
      </c>
      <c r="E16" s="20">
        <v>2400</v>
      </c>
      <c r="F16" s="79"/>
      <c r="G16" s="79"/>
      <c r="H16" s="9" t="s">
        <v>324</v>
      </c>
      <c r="I16" s="162"/>
      <c r="J16" s="73"/>
      <c r="K16" s="80"/>
      <c r="L16" s="78"/>
    </row>
    <row r="17" spans="1:12" s="100" customFormat="1" ht="135" x14ac:dyDescent="0.25">
      <c r="A17" s="134">
        <v>9</v>
      </c>
      <c r="B17" s="59" t="s">
        <v>449</v>
      </c>
      <c r="C17" s="27" t="s">
        <v>147</v>
      </c>
      <c r="D17" s="27" t="s">
        <v>157</v>
      </c>
      <c r="E17" s="26">
        <v>2400</v>
      </c>
      <c r="F17" s="87"/>
      <c r="G17" s="87" t="s">
        <v>667</v>
      </c>
      <c r="H17" s="27" t="s">
        <v>324</v>
      </c>
      <c r="I17" s="162"/>
      <c r="J17" s="87" t="s">
        <v>666</v>
      </c>
      <c r="K17" s="86"/>
      <c r="L17" s="87" t="s">
        <v>664</v>
      </c>
    </row>
    <row r="18" spans="1:12" s="100" customFormat="1" ht="45" x14ac:dyDescent="0.25">
      <c r="A18" s="75">
        <v>10</v>
      </c>
      <c r="B18" s="8" t="s">
        <v>149</v>
      </c>
      <c r="C18" s="9" t="s">
        <v>451</v>
      </c>
      <c r="D18" s="9">
        <v>26</v>
      </c>
      <c r="E18" s="20">
        <v>2310</v>
      </c>
      <c r="F18" s="79"/>
      <c r="G18" s="79"/>
      <c r="H18" s="9" t="s">
        <v>558</v>
      </c>
      <c r="I18" s="162"/>
      <c r="J18" s="73"/>
      <c r="K18" s="80"/>
      <c r="L18" s="78"/>
    </row>
    <row r="19" spans="1:12" s="100" customFormat="1" ht="60" x14ac:dyDescent="0.25">
      <c r="A19" s="75">
        <v>11</v>
      </c>
      <c r="B19" s="8" t="s">
        <v>148</v>
      </c>
      <c r="C19" s="9" t="s">
        <v>450</v>
      </c>
      <c r="D19" s="9" t="s">
        <v>158</v>
      </c>
      <c r="E19" s="20">
        <v>2250</v>
      </c>
      <c r="F19" s="79"/>
      <c r="G19" s="79"/>
      <c r="H19" s="9" t="s">
        <v>325</v>
      </c>
      <c r="I19" s="162"/>
      <c r="J19" s="73"/>
      <c r="K19" s="80"/>
      <c r="L19" s="78"/>
    </row>
    <row r="20" spans="1:12" s="100" customFormat="1" ht="60" x14ac:dyDescent="0.25">
      <c r="A20" s="75">
        <v>12</v>
      </c>
      <c r="B20" s="8" t="s">
        <v>570</v>
      </c>
      <c r="C20" s="9" t="s">
        <v>454</v>
      </c>
      <c r="D20" s="9">
        <v>120</v>
      </c>
      <c r="E20" s="20">
        <v>1800</v>
      </c>
      <c r="F20" s="9" t="s">
        <v>455</v>
      </c>
      <c r="G20" s="9" t="s">
        <v>456</v>
      </c>
      <c r="H20" s="9" t="s">
        <v>457</v>
      </c>
      <c r="I20" s="8" t="s">
        <v>458</v>
      </c>
      <c r="J20" s="9" t="s">
        <v>398</v>
      </c>
      <c r="K20" s="9">
        <v>240</v>
      </c>
      <c r="L20" s="78"/>
    </row>
    <row r="21" spans="1:12" s="100" customFormat="1" ht="45" x14ac:dyDescent="0.25">
      <c r="A21" s="75">
        <v>13</v>
      </c>
      <c r="B21" s="8" t="s">
        <v>144</v>
      </c>
      <c r="C21" s="9" t="s">
        <v>145</v>
      </c>
      <c r="D21" s="9" t="s">
        <v>155</v>
      </c>
      <c r="E21" s="20">
        <v>1500</v>
      </c>
      <c r="F21" s="79"/>
      <c r="G21" s="79"/>
      <c r="H21" s="9" t="s">
        <v>323</v>
      </c>
      <c r="I21" s="99"/>
      <c r="J21" s="73"/>
      <c r="K21" s="80"/>
      <c r="L21" s="78"/>
    </row>
    <row r="22" spans="1:12" s="100" customFormat="1" ht="30" x14ac:dyDescent="0.25">
      <c r="A22" s="75">
        <v>14</v>
      </c>
      <c r="B22" s="8" t="s">
        <v>150</v>
      </c>
      <c r="C22" s="9" t="s">
        <v>453</v>
      </c>
      <c r="D22" s="9" t="s">
        <v>159</v>
      </c>
      <c r="E22" s="20">
        <v>1580</v>
      </c>
      <c r="F22" s="163"/>
      <c r="G22" s="163"/>
      <c r="H22" s="9" t="s">
        <v>327</v>
      </c>
      <c r="I22" s="164"/>
      <c r="J22" s="14"/>
      <c r="K22" s="14"/>
      <c r="L22" s="14"/>
    </row>
    <row r="23" spans="1:12" s="100" customFormat="1" ht="30" x14ac:dyDescent="0.25">
      <c r="A23" s="75">
        <v>15</v>
      </c>
      <c r="B23" s="8" t="s">
        <v>153</v>
      </c>
      <c r="C23" s="9" t="s">
        <v>291</v>
      </c>
      <c r="D23" s="9">
        <v>15</v>
      </c>
      <c r="E23" s="20">
        <v>1550</v>
      </c>
      <c r="F23" s="163"/>
      <c r="G23" s="163"/>
      <c r="H23" s="9" t="s">
        <v>328</v>
      </c>
      <c r="I23" s="164"/>
      <c r="J23" s="14"/>
      <c r="K23" s="14"/>
      <c r="L23" s="14"/>
    </row>
    <row r="24" spans="1:12" s="100" customFormat="1" ht="45" x14ac:dyDescent="0.25">
      <c r="A24" s="75">
        <v>16</v>
      </c>
      <c r="B24" s="8" t="s">
        <v>152</v>
      </c>
      <c r="C24" s="9" t="s">
        <v>290</v>
      </c>
      <c r="D24" s="9" t="s">
        <v>161</v>
      </c>
      <c r="E24" s="20">
        <v>1400</v>
      </c>
      <c r="F24" s="163"/>
      <c r="G24" s="163"/>
      <c r="H24" s="9" t="s">
        <v>327</v>
      </c>
      <c r="I24" s="164"/>
      <c r="J24" s="78"/>
      <c r="K24" s="78"/>
      <c r="L24" s="14"/>
    </row>
    <row r="25" spans="1:12" s="100" customFormat="1" ht="60" x14ac:dyDescent="0.25">
      <c r="A25" s="75">
        <v>17</v>
      </c>
      <c r="B25" s="8" t="s">
        <v>1027</v>
      </c>
      <c r="C25" s="79" t="s">
        <v>467</v>
      </c>
      <c r="D25" s="9">
        <v>100</v>
      </c>
      <c r="E25" s="23">
        <v>200</v>
      </c>
      <c r="F25" s="9" t="s">
        <v>1026</v>
      </c>
      <c r="G25" s="9" t="s">
        <v>1025</v>
      </c>
      <c r="H25" s="9" t="s">
        <v>1024</v>
      </c>
      <c r="I25" s="8" t="s">
        <v>1023</v>
      </c>
      <c r="J25" s="9" t="s">
        <v>117</v>
      </c>
      <c r="K25" s="9">
        <v>0</v>
      </c>
      <c r="L25" s="14"/>
    </row>
    <row r="26" spans="1:12" s="100" customFormat="1" x14ac:dyDescent="0.25">
      <c r="A26" s="85" t="s">
        <v>93</v>
      </c>
      <c r="B26" s="160" t="s">
        <v>1034</v>
      </c>
      <c r="C26" s="160"/>
      <c r="D26" s="160"/>
      <c r="E26" s="160"/>
      <c r="F26" s="160"/>
      <c r="G26" s="160"/>
      <c r="H26" s="160"/>
      <c r="I26" s="160"/>
      <c r="J26" s="160"/>
      <c r="K26" s="160"/>
      <c r="L26" s="160"/>
    </row>
    <row r="27" spans="1:12" s="100" customFormat="1" ht="90" x14ac:dyDescent="0.25">
      <c r="A27" s="75">
        <v>18</v>
      </c>
      <c r="B27" s="8" t="s">
        <v>1022</v>
      </c>
      <c r="C27" s="9" t="s">
        <v>1021</v>
      </c>
      <c r="D27" s="9">
        <v>1.464</v>
      </c>
      <c r="E27" s="20">
        <v>20000</v>
      </c>
      <c r="F27" s="79" t="s">
        <v>1020</v>
      </c>
      <c r="G27" s="79"/>
      <c r="H27" s="44" t="s">
        <v>1019</v>
      </c>
      <c r="I27" s="76"/>
      <c r="J27" s="73"/>
      <c r="K27" s="80"/>
      <c r="L27" s="9" t="s">
        <v>967</v>
      </c>
    </row>
    <row r="28" spans="1:12" s="100" customFormat="1" ht="150" x14ac:dyDescent="0.25">
      <c r="A28" s="75">
        <v>19</v>
      </c>
      <c r="B28" s="28" t="s">
        <v>1018</v>
      </c>
      <c r="C28" s="83" t="s">
        <v>1017</v>
      </c>
      <c r="D28" s="83">
        <v>700</v>
      </c>
      <c r="E28" s="84">
        <f>500*20</f>
        <v>10000</v>
      </c>
      <c r="F28" s="83" t="s">
        <v>364</v>
      </c>
      <c r="G28" s="83" t="s">
        <v>372</v>
      </c>
      <c r="H28" s="83" t="s">
        <v>1016</v>
      </c>
      <c r="I28" s="28" t="s">
        <v>1015</v>
      </c>
      <c r="J28" s="83" t="s">
        <v>1014</v>
      </c>
      <c r="K28" s="83" t="s">
        <v>133</v>
      </c>
      <c r="L28" s="14"/>
    </row>
    <row r="29" spans="1:12" s="100" customFormat="1" ht="45" x14ac:dyDescent="0.25">
      <c r="A29" s="75">
        <v>20</v>
      </c>
      <c r="B29" s="8" t="s">
        <v>1013</v>
      </c>
      <c r="C29" s="9" t="s">
        <v>960</v>
      </c>
      <c r="D29" s="77"/>
      <c r="E29" s="20">
        <v>9040</v>
      </c>
      <c r="F29" s="79"/>
      <c r="G29" s="79"/>
      <c r="H29" s="44" t="s">
        <v>1012</v>
      </c>
      <c r="I29" s="76"/>
      <c r="J29" s="73"/>
      <c r="K29" s="80"/>
      <c r="L29" s="9" t="s">
        <v>967</v>
      </c>
    </row>
    <row r="30" spans="1:12" s="100" customFormat="1" ht="60" x14ac:dyDescent="0.25">
      <c r="A30" s="75">
        <v>21</v>
      </c>
      <c r="B30" s="8" t="s">
        <v>1011</v>
      </c>
      <c r="C30" s="9" t="s">
        <v>1010</v>
      </c>
      <c r="D30" s="77"/>
      <c r="E30" s="20">
        <v>5000</v>
      </c>
      <c r="F30" s="79"/>
      <c r="G30" s="79" t="s">
        <v>1009</v>
      </c>
      <c r="H30" s="9" t="s">
        <v>1008</v>
      </c>
      <c r="I30" s="76"/>
      <c r="J30" s="79"/>
      <c r="K30" s="77"/>
      <c r="L30" s="9" t="s">
        <v>967</v>
      </c>
    </row>
    <row r="31" spans="1:12" s="100" customFormat="1" ht="135" x14ac:dyDescent="0.25">
      <c r="A31" s="75">
        <v>22</v>
      </c>
      <c r="B31" s="8" t="s">
        <v>930</v>
      </c>
      <c r="C31" s="9" t="s">
        <v>1007</v>
      </c>
      <c r="D31" s="9"/>
      <c r="E31" s="20">
        <v>4600</v>
      </c>
      <c r="F31" s="14"/>
      <c r="G31" s="14"/>
      <c r="H31" s="44" t="s">
        <v>1006</v>
      </c>
      <c r="I31" s="82"/>
      <c r="J31" s="14"/>
      <c r="K31" s="14"/>
      <c r="L31" s="9" t="s">
        <v>1005</v>
      </c>
    </row>
    <row r="32" spans="1:12" s="100" customFormat="1" ht="75" x14ac:dyDescent="0.25">
      <c r="A32" s="75">
        <v>23</v>
      </c>
      <c r="B32" s="8" t="s">
        <v>1004</v>
      </c>
      <c r="C32" s="9" t="s">
        <v>1003</v>
      </c>
      <c r="D32" s="9"/>
      <c r="E32" s="20">
        <v>4000</v>
      </c>
      <c r="F32" s="79"/>
      <c r="G32" s="79" t="s">
        <v>1002</v>
      </c>
      <c r="H32" s="44" t="s">
        <v>1001</v>
      </c>
      <c r="I32" s="76" t="s">
        <v>1000</v>
      </c>
      <c r="J32" s="73"/>
      <c r="K32" s="80"/>
      <c r="L32" s="9" t="s">
        <v>967</v>
      </c>
    </row>
    <row r="33" spans="1:12" s="100" customFormat="1" ht="90" x14ac:dyDescent="0.25">
      <c r="A33" s="75">
        <v>24</v>
      </c>
      <c r="B33" s="8" t="s">
        <v>999</v>
      </c>
      <c r="C33" s="9" t="s">
        <v>998</v>
      </c>
      <c r="D33" s="9"/>
      <c r="E33" s="20">
        <v>3200</v>
      </c>
      <c r="F33" s="9"/>
      <c r="G33" s="9" t="s">
        <v>997</v>
      </c>
      <c r="H33" s="9" t="s">
        <v>996</v>
      </c>
      <c r="I33" s="76"/>
      <c r="J33" s="9"/>
      <c r="K33" s="9"/>
      <c r="L33" s="79"/>
    </row>
    <row r="34" spans="1:12" s="100" customFormat="1" ht="45" x14ac:dyDescent="0.25">
      <c r="A34" s="75">
        <v>25</v>
      </c>
      <c r="B34" s="8" t="s">
        <v>995</v>
      </c>
      <c r="C34" s="9" t="s">
        <v>994</v>
      </c>
      <c r="D34" s="9"/>
      <c r="E34" s="20">
        <v>3000</v>
      </c>
      <c r="F34" s="79"/>
      <c r="G34" s="79"/>
      <c r="H34" s="44" t="s">
        <v>993</v>
      </c>
      <c r="I34" s="76"/>
      <c r="J34" s="73"/>
      <c r="K34" s="80"/>
      <c r="L34" s="9" t="s">
        <v>967</v>
      </c>
    </row>
    <row r="35" spans="1:12" s="100" customFormat="1" ht="45" x14ac:dyDescent="0.25">
      <c r="A35" s="75">
        <v>26</v>
      </c>
      <c r="B35" s="8" t="s">
        <v>992</v>
      </c>
      <c r="C35" s="9" t="s">
        <v>991</v>
      </c>
      <c r="D35" s="77"/>
      <c r="E35" s="20">
        <v>2800</v>
      </c>
      <c r="F35" s="79"/>
      <c r="G35" s="79"/>
      <c r="H35" s="9" t="s">
        <v>990</v>
      </c>
      <c r="I35" s="81"/>
      <c r="J35" s="73"/>
      <c r="K35" s="80"/>
      <c r="L35" s="9" t="s">
        <v>989</v>
      </c>
    </row>
    <row r="36" spans="1:12" s="100" customFormat="1" ht="45" x14ac:dyDescent="0.25">
      <c r="A36" s="75">
        <v>27</v>
      </c>
      <c r="B36" s="8" t="s">
        <v>988</v>
      </c>
      <c r="C36" s="9" t="s">
        <v>4</v>
      </c>
      <c r="D36" s="9"/>
      <c r="E36" s="20">
        <v>2200</v>
      </c>
      <c r="F36" s="14"/>
      <c r="G36" s="14"/>
      <c r="H36" s="9" t="s">
        <v>987</v>
      </c>
      <c r="I36" s="74"/>
      <c r="J36" s="73"/>
      <c r="K36" s="73"/>
      <c r="L36" s="9" t="s">
        <v>967</v>
      </c>
    </row>
    <row r="37" spans="1:12" s="100" customFormat="1" ht="45" x14ac:dyDescent="0.25">
      <c r="A37" s="75">
        <v>28</v>
      </c>
      <c r="B37" s="8" t="s">
        <v>986</v>
      </c>
      <c r="C37" s="9" t="s">
        <v>985</v>
      </c>
      <c r="D37" s="77"/>
      <c r="E37" s="20">
        <v>2000</v>
      </c>
      <c r="F37" s="79"/>
      <c r="G37" s="79"/>
      <c r="H37" s="44" t="s">
        <v>322</v>
      </c>
      <c r="I37" s="76"/>
      <c r="J37" s="73"/>
      <c r="K37" s="80"/>
      <c r="L37" s="9" t="s">
        <v>984</v>
      </c>
    </row>
    <row r="38" spans="1:12" s="100" customFormat="1" ht="30" x14ac:dyDescent="0.25">
      <c r="A38" s="75">
        <v>29</v>
      </c>
      <c r="B38" s="8" t="s">
        <v>983</v>
      </c>
      <c r="C38" s="9" t="s">
        <v>39</v>
      </c>
      <c r="D38" s="77"/>
      <c r="E38" s="20">
        <v>2000</v>
      </c>
      <c r="F38" s="79"/>
      <c r="G38" s="79" t="s">
        <v>982</v>
      </c>
      <c r="H38" s="9" t="s">
        <v>322</v>
      </c>
      <c r="I38" s="76"/>
      <c r="J38" s="79"/>
      <c r="K38" s="77"/>
      <c r="L38" s="79"/>
    </row>
    <row r="39" spans="1:12" s="100" customFormat="1" ht="30" x14ac:dyDescent="0.25">
      <c r="A39" s="75">
        <v>30</v>
      </c>
      <c r="B39" s="8" t="s">
        <v>981</v>
      </c>
      <c r="C39" s="9" t="s">
        <v>931</v>
      </c>
      <c r="D39" s="79"/>
      <c r="E39" s="20">
        <v>2000</v>
      </c>
      <c r="F39" s="79"/>
      <c r="G39" s="79"/>
      <c r="H39" s="9" t="s">
        <v>322</v>
      </c>
      <c r="I39" s="76"/>
      <c r="J39" s="79"/>
      <c r="K39" s="77"/>
      <c r="L39" s="79"/>
    </row>
    <row r="40" spans="1:12" s="100" customFormat="1" ht="75" x14ac:dyDescent="0.25">
      <c r="A40" s="75">
        <v>31</v>
      </c>
      <c r="B40" s="8" t="s">
        <v>920</v>
      </c>
      <c r="C40" s="9" t="s">
        <v>980</v>
      </c>
      <c r="D40" s="79"/>
      <c r="E40" s="20">
        <v>2000</v>
      </c>
      <c r="F40" s="79"/>
      <c r="G40" s="79" t="s">
        <v>979</v>
      </c>
      <c r="H40" s="9" t="s">
        <v>322</v>
      </c>
      <c r="I40" s="76"/>
      <c r="J40" s="79"/>
      <c r="K40" s="78"/>
      <c r="L40" s="79"/>
    </row>
    <row r="41" spans="1:12" s="100" customFormat="1" ht="45" x14ac:dyDescent="0.25">
      <c r="A41" s="75">
        <v>32</v>
      </c>
      <c r="B41" s="8" t="s">
        <v>978</v>
      </c>
      <c r="C41" s="9" t="s">
        <v>969</v>
      </c>
      <c r="D41" s="77"/>
      <c r="E41" s="20">
        <v>1400</v>
      </c>
      <c r="F41" s="79"/>
      <c r="G41" s="79" t="s">
        <v>968</v>
      </c>
      <c r="H41" s="9" t="s">
        <v>977</v>
      </c>
      <c r="I41" s="76"/>
      <c r="J41" s="79"/>
      <c r="K41" s="77"/>
      <c r="L41" s="9" t="s">
        <v>967</v>
      </c>
    </row>
    <row r="42" spans="1:12" s="100" customFormat="1" ht="45" x14ac:dyDescent="0.25">
      <c r="A42" s="75">
        <v>33</v>
      </c>
      <c r="B42" s="8" t="s">
        <v>976</v>
      </c>
      <c r="C42" s="9" t="s">
        <v>969</v>
      </c>
      <c r="D42" s="79"/>
      <c r="E42" s="20">
        <v>1200</v>
      </c>
      <c r="F42" s="79"/>
      <c r="G42" s="79" t="s">
        <v>968</v>
      </c>
      <c r="H42" s="9" t="s">
        <v>975</v>
      </c>
      <c r="I42" s="76"/>
      <c r="J42" s="79"/>
      <c r="K42" s="78"/>
      <c r="L42" s="9" t="s">
        <v>967</v>
      </c>
    </row>
    <row r="43" spans="1:12" s="100" customFormat="1" ht="30" x14ac:dyDescent="0.25">
      <c r="A43" s="75">
        <v>34</v>
      </c>
      <c r="B43" s="8" t="s">
        <v>932</v>
      </c>
      <c r="C43" s="9" t="s">
        <v>291</v>
      </c>
      <c r="D43" s="79"/>
      <c r="E43" s="20">
        <v>1100</v>
      </c>
      <c r="F43" s="79"/>
      <c r="G43" s="79"/>
      <c r="H43" s="9" t="s">
        <v>974</v>
      </c>
      <c r="I43" s="76"/>
      <c r="J43" s="79"/>
      <c r="K43" s="78"/>
      <c r="L43" s="9"/>
    </row>
    <row r="44" spans="1:12" ht="45" x14ac:dyDescent="0.25">
      <c r="A44" s="75">
        <v>35</v>
      </c>
      <c r="B44" s="8" t="s">
        <v>973</v>
      </c>
      <c r="C44" s="9" t="s">
        <v>972</v>
      </c>
      <c r="D44" s="9"/>
      <c r="E44" s="20">
        <v>1000</v>
      </c>
      <c r="F44" s="79"/>
      <c r="G44" s="79"/>
      <c r="H44" s="44" t="s">
        <v>323</v>
      </c>
      <c r="I44" s="76"/>
      <c r="J44" s="73"/>
      <c r="K44" s="80"/>
      <c r="L44" s="9" t="s">
        <v>967</v>
      </c>
    </row>
    <row r="45" spans="1:12" ht="45" x14ac:dyDescent="0.25">
      <c r="A45" s="75">
        <v>36</v>
      </c>
      <c r="B45" s="8" t="s">
        <v>971</v>
      </c>
      <c r="C45" s="9" t="s">
        <v>4</v>
      </c>
      <c r="D45" s="9"/>
      <c r="E45" s="20">
        <v>1000</v>
      </c>
      <c r="F45" s="79"/>
      <c r="G45" s="79"/>
      <c r="H45" s="44" t="s">
        <v>323</v>
      </c>
      <c r="I45" s="76"/>
      <c r="J45" s="73"/>
      <c r="K45" s="80"/>
      <c r="L45" s="9" t="s">
        <v>967</v>
      </c>
    </row>
    <row r="46" spans="1:12" ht="45" x14ac:dyDescent="0.25">
      <c r="A46" s="75">
        <v>37</v>
      </c>
      <c r="B46" s="8" t="s">
        <v>970</v>
      </c>
      <c r="C46" s="9" t="s">
        <v>969</v>
      </c>
      <c r="D46" s="79"/>
      <c r="E46" s="20">
        <v>1000</v>
      </c>
      <c r="F46" s="79"/>
      <c r="G46" s="79" t="s">
        <v>968</v>
      </c>
      <c r="H46" s="9" t="s">
        <v>323</v>
      </c>
      <c r="I46" s="76"/>
      <c r="J46" s="79"/>
      <c r="K46" s="78"/>
      <c r="L46" s="9" t="s">
        <v>967</v>
      </c>
    </row>
    <row r="47" spans="1:12" ht="30" x14ac:dyDescent="0.25">
      <c r="A47" s="75">
        <v>38</v>
      </c>
      <c r="B47" s="8" t="s">
        <v>925</v>
      </c>
      <c r="C47" s="9" t="s">
        <v>966</v>
      </c>
      <c r="D47" s="9"/>
      <c r="E47" s="20">
        <v>1000</v>
      </c>
      <c r="F47" s="9"/>
      <c r="G47" s="9"/>
      <c r="H47" s="9" t="s">
        <v>323</v>
      </c>
      <c r="I47" s="76"/>
      <c r="J47" s="9"/>
      <c r="K47" s="9"/>
      <c r="L47" s="79"/>
    </row>
    <row r="48" spans="1:12" ht="30" x14ac:dyDescent="0.25">
      <c r="A48" s="75">
        <v>39</v>
      </c>
      <c r="B48" s="8" t="s">
        <v>926</v>
      </c>
      <c r="C48" s="9" t="s">
        <v>965</v>
      </c>
      <c r="D48" s="9"/>
      <c r="E48" s="20">
        <v>1000</v>
      </c>
      <c r="F48" s="14"/>
      <c r="G48" s="14"/>
      <c r="H48" s="9" t="s">
        <v>323</v>
      </c>
      <c r="I48" s="76"/>
      <c r="J48" s="14"/>
      <c r="K48" s="9"/>
      <c r="L48" s="79"/>
    </row>
    <row r="49" spans="1:12" ht="45" x14ac:dyDescent="0.25">
      <c r="A49" s="75">
        <v>40</v>
      </c>
      <c r="B49" s="8" t="s">
        <v>964</v>
      </c>
      <c r="C49" s="9" t="s">
        <v>963</v>
      </c>
      <c r="D49" s="9"/>
      <c r="E49" s="20">
        <v>1000</v>
      </c>
      <c r="F49" s="9"/>
      <c r="G49" s="9" t="s">
        <v>962</v>
      </c>
      <c r="H49" s="9" t="s">
        <v>323</v>
      </c>
      <c r="I49" s="76" t="s">
        <v>961</v>
      </c>
      <c r="J49" s="9"/>
      <c r="K49" s="9"/>
      <c r="L49" s="79"/>
    </row>
    <row r="50" spans="1:12" ht="120" x14ac:dyDescent="0.25">
      <c r="A50" s="75">
        <v>41</v>
      </c>
      <c r="B50" s="8" t="s">
        <v>927</v>
      </c>
      <c r="C50" s="9" t="s">
        <v>960</v>
      </c>
      <c r="D50" s="9"/>
      <c r="E50" s="20">
        <v>800</v>
      </c>
      <c r="F50" s="14"/>
      <c r="G50" s="14" t="s">
        <v>959</v>
      </c>
      <c r="H50" s="44" t="s">
        <v>953</v>
      </c>
      <c r="I50" s="76" t="s">
        <v>958</v>
      </c>
      <c r="J50" s="78"/>
      <c r="K50" s="78"/>
      <c r="L50" s="9"/>
    </row>
    <row r="51" spans="1:12" x14ac:dyDescent="0.25">
      <c r="A51" s="75">
        <v>42</v>
      </c>
      <c r="B51" s="8" t="s">
        <v>928</v>
      </c>
      <c r="C51" s="9" t="s">
        <v>929</v>
      </c>
      <c r="D51" s="73"/>
      <c r="E51" s="23">
        <v>800</v>
      </c>
      <c r="F51" s="73"/>
      <c r="G51" s="73"/>
      <c r="H51" s="9" t="s">
        <v>953</v>
      </c>
      <c r="I51" s="76"/>
      <c r="J51" s="73"/>
      <c r="K51" s="73"/>
      <c r="L51" s="9"/>
    </row>
    <row r="52" spans="1:12" ht="45" x14ac:dyDescent="0.25">
      <c r="A52" s="75">
        <v>43</v>
      </c>
      <c r="B52" s="8" t="s">
        <v>923</v>
      </c>
      <c r="C52" s="9" t="s">
        <v>924</v>
      </c>
      <c r="D52" s="9"/>
      <c r="E52" s="20">
        <v>760</v>
      </c>
      <c r="F52" s="9"/>
      <c r="G52" s="9" t="s">
        <v>957</v>
      </c>
      <c r="H52" s="9" t="s">
        <v>956</v>
      </c>
      <c r="I52" s="76"/>
      <c r="J52" s="9"/>
      <c r="K52" s="9"/>
      <c r="L52" s="79"/>
    </row>
    <row r="53" spans="1:12" ht="75" x14ac:dyDescent="0.25">
      <c r="A53" s="75">
        <v>44</v>
      </c>
      <c r="B53" s="8" t="s">
        <v>921</v>
      </c>
      <c r="C53" s="9" t="s">
        <v>955</v>
      </c>
      <c r="D53" s="77"/>
      <c r="E53" s="20">
        <v>800</v>
      </c>
      <c r="F53" s="9"/>
      <c r="G53" s="77" t="s">
        <v>954</v>
      </c>
      <c r="H53" s="9" t="s">
        <v>953</v>
      </c>
      <c r="I53" s="76"/>
      <c r="J53" s="77"/>
      <c r="K53" s="77"/>
      <c r="L53" s="79"/>
    </row>
    <row r="54" spans="1:12" ht="75" x14ac:dyDescent="0.25">
      <c r="A54" s="75">
        <v>45</v>
      </c>
      <c r="B54" s="8" t="s">
        <v>952</v>
      </c>
      <c r="C54" s="9" t="s">
        <v>933</v>
      </c>
      <c r="D54" s="9"/>
      <c r="E54" s="20">
        <v>600</v>
      </c>
      <c r="F54" s="9"/>
      <c r="G54" s="9"/>
      <c r="H54" s="44" t="s">
        <v>328</v>
      </c>
      <c r="I54" s="76" t="s">
        <v>951</v>
      </c>
      <c r="J54" s="9"/>
      <c r="K54" s="9"/>
      <c r="L54" s="9"/>
    </row>
    <row r="55" spans="1:12" ht="60" x14ac:dyDescent="0.25">
      <c r="A55" s="75">
        <v>46</v>
      </c>
      <c r="B55" s="8" t="s">
        <v>922</v>
      </c>
      <c r="C55" s="9" t="s">
        <v>950</v>
      </c>
      <c r="D55" s="9"/>
      <c r="E55" s="20">
        <v>600</v>
      </c>
      <c r="F55" s="9"/>
      <c r="G55" s="9" t="s">
        <v>949</v>
      </c>
      <c r="H55" s="9" t="s">
        <v>328</v>
      </c>
      <c r="I55" s="76"/>
      <c r="J55" s="9"/>
      <c r="K55" s="9"/>
      <c r="L55" s="79"/>
    </row>
    <row r="56" spans="1:12" ht="90" x14ac:dyDescent="0.25">
      <c r="A56" s="75">
        <v>47</v>
      </c>
      <c r="B56" s="8" t="s">
        <v>948</v>
      </c>
      <c r="C56" s="9" t="s">
        <v>947</v>
      </c>
      <c r="D56" s="14"/>
      <c r="E56" s="35">
        <v>80</v>
      </c>
      <c r="F56" s="14"/>
      <c r="G56" s="14"/>
      <c r="H56" s="9" t="s">
        <v>946</v>
      </c>
      <c r="I56" s="74"/>
      <c r="J56" s="73"/>
      <c r="K56" s="73"/>
      <c r="L56" s="9" t="s">
        <v>945</v>
      </c>
    </row>
  </sheetData>
  <autoFilter ref="A6:K37" xr:uid="{00000000-0009-0000-0000-000000000000}"/>
  <mergeCells count="10">
    <mergeCell ref="A2:L2"/>
    <mergeCell ref="I9:I10"/>
    <mergeCell ref="B26:L26"/>
    <mergeCell ref="B8:F8"/>
    <mergeCell ref="I13:I19"/>
    <mergeCell ref="F22:F24"/>
    <mergeCell ref="G22:G24"/>
    <mergeCell ref="I22:I24"/>
    <mergeCell ref="B3:L3"/>
    <mergeCell ref="B4:L4"/>
  </mergeCells>
  <conditionalFormatting sqref="B36">
    <cfRule type="duplicateValues" dxfId="0" priority="1"/>
  </conditionalFormatting>
  <pageMargins left="0.1" right="0.1" top="0.2" bottom="0.1" header="0.2" footer="0.25"/>
  <pageSetup paperSize="9" scale="79"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L59"/>
  <sheetViews>
    <sheetView tabSelected="1" zoomScale="80" zoomScaleNormal="80" workbookViewId="0">
      <selection activeCell="B59" sqref="B59"/>
    </sheetView>
  </sheetViews>
  <sheetFormatPr defaultRowHeight="15" x14ac:dyDescent="0.25"/>
  <cols>
    <col min="1" max="1" width="5.7109375" style="102" customWidth="1"/>
    <col min="2" max="2" width="20.85546875" style="104" customWidth="1"/>
    <col min="3" max="3" width="14.140625" style="102" customWidth="1"/>
    <col min="4" max="4" width="9.5703125" style="102" customWidth="1"/>
    <col min="5" max="5" width="10.85546875" style="102" customWidth="1"/>
    <col min="6" max="6" width="16.7109375" style="102" customWidth="1"/>
    <col min="7" max="7" width="23" style="104" customWidth="1"/>
    <col min="8" max="8" width="34.85546875" style="104" customWidth="1"/>
    <col min="9" max="9" width="43.7109375" style="104" customWidth="1"/>
    <col min="10" max="12" width="16.7109375" style="102" customWidth="1"/>
    <col min="13" max="16384" width="9.140625" style="104"/>
  </cols>
  <sheetData>
    <row r="1" spans="1:12" s="102" customFormat="1" x14ac:dyDescent="0.25"/>
    <row r="2" spans="1:12" s="102" customFormat="1" ht="16.5" customHeight="1" x14ac:dyDescent="0.25">
      <c r="A2" s="158" t="s">
        <v>1068</v>
      </c>
      <c r="B2" s="158"/>
      <c r="C2" s="158"/>
      <c r="D2" s="158"/>
      <c r="E2" s="158"/>
      <c r="F2" s="158"/>
      <c r="G2" s="158"/>
      <c r="H2" s="158"/>
      <c r="I2" s="158"/>
      <c r="J2" s="158"/>
      <c r="K2" s="158"/>
      <c r="L2" s="158"/>
    </row>
    <row r="3" spans="1:12" s="102" customFormat="1" ht="16.5" customHeight="1" x14ac:dyDescent="0.25">
      <c r="A3" s="136"/>
      <c r="B3" s="158" t="s">
        <v>1066</v>
      </c>
      <c r="C3" s="158"/>
      <c r="D3" s="158"/>
      <c r="E3" s="158"/>
      <c r="F3" s="158"/>
      <c r="G3" s="158"/>
      <c r="H3" s="158"/>
      <c r="I3" s="158"/>
      <c r="J3" s="158"/>
      <c r="K3" s="158"/>
      <c r="L3" s="158"/>
    </row>
    <row r="4" spans="1:12" s="102" customFormat="1" ht="16.5" customHeight="1" x14ac:dyDescent="0.25">
      <c r="A4" s="136"/>
      <c r="B4" s="158" t="s">
        <v>1122</v>
      </c>
      <c r="C4" s="158"/>
      <c r="D4" s="158"/>
      <c r="E4" s="158"/>
      <c r="F4" s="158"/>
      <c r="G4" s="158"/>
      <c r="H4" s="158"/>
      <c r="I4" s="158"/>
      <c r="J4" s="158"/>
      <c r="K4" s="158"/>
      <c r="L4" s="158"/>
    </row>
    <row r="5" spans="1:12" s="102" customFormat="1" x14ac:dyDescent="0.25"/>
    <row r="6" spans="1:12" s="102" customFormat="1" ht="75" customHeight="1" x14ac:dyDescent="0.25">
      <c r="A6" s="1" t="s">
        <v>114</v>
      </c>
      <c r="B6" s="1" t="s">
        <v>113</v>
      </c>
      <c r="C6" s="1" t="s">
        <v>112</v>
      </c>
      <c r="D6" s="1" t="s">
        <v>111</v>
      </c>
      <c r="E6" s="2" t="s">
        <v>110</v>
      </c>
      <c r="F6" s="1" t="s">
        <v>109</v>
      </c>
      <c r="G6" s="1" t="s">
        <v>108</v>
      </c>
      <c r="H6" s="1" t="s">
        <v>107</v>
      </c>
      <c r="I6" s="1" t="s">
        <v>106</v>
      </c>
      <c r="J6" s="1" t="s">
        <v>105</v>
      </c>
      <c r="K6" s="1" t="s">
        <v>1054</v>
      </c>
      <c r="L6" s="10" t="s">
        <v>632</v>
      </c>
    </row>
    <row r="7" spans="1:12" ht="15" customHeight="1" x14ac:dyDescent="0.25">
      <c r="A7" s="6" t="s">
        <v>104</v>
      </c>
      <c r="B7" s="168" t="s">
        <v>1119</v>
      </c>
      <c r="C7" s="169"/>
      <c r="D7" s="169"/>
      <c r="E7" s="169"/>
      <c r="F7" s="169"/>
      <c r="G7" s="169"/>
      <c r="H7" s="169"/>
      <c r="I7" s="169"/>
      <c r="J7" s="169"/>
      <c r="K7" s="169"/>
      <c r="L7" s="170"/>
    </row>
    <row r="8" spans="1:12" ht="195" x14ac:dyDescent="0.25">
      <c r="A8" s="4">
        <v>1</v>
      </c>
      <c r="B8" s="137" t="s">
        <v>56</v>
      </c>
      <c r="C8" s="138" t="s">
        <v>48</v>
      </c>
      <c r="D8" s="138">
        <v>329</v>
      </c>
      <c r="E8" s="139">
        <v>37000</v>
      </c>
      <c r="F8" s="138" t="s">
        <v>53</v>
      </c>
      <c r="G8" s="138" t="s">
        <v>55</v>
      </c>
      <c r="H8" s="138" t="s">
        <v>54</v>
      </c>
      <c r="I8" s="140" t="s">
        <v>1080</v>
      </c>
      <c r="J8" s="138" t="s">
        <v>52</v>
      </c>
      <c r="K8" s="149"/>
      <c r="L8" s="4"/>
    </row>
    <row r="9" spans="1:12" ht="195" x14ac:dyDescent="0.25">
      <c r="A9" s="4">
        <v>2</v>
      </c>
      <c r="B9" s="137" t="s">
        <v>1082</v>
      </c>
      <c r="C9" s="138" t="s">
        <v>16</v>
      </c>
      <c r="D9" s="138">
        <v>297</v>
      </c>
      <c r="E9" s="139">
        <v>35000</v>
      </c>
      <c r="F9" s="138" t="s">
        <v>53</v>
      </c>
      <c r="G9" s="138" t="s">
        <v>1083</v>
      </c>
      <c r="H9" s="150" t="s">
        <v>1084</v>
      </c>
      <c r="I9" s="140" t="s">
        <v>1085</v>
      </c>
      <c r="J9" s="138" t="s">
        <v>52</v>
      </c>
      <c r="K9" s="151"/>
      <c r="L9" s="4"/>
    </row>
    <row r="10" spans="1:12" ht="120" x14ac:dyDescent="0.25">
      <c r="A10" s="4">
        <v>3</v>
      </c>
      <c r="B10" s="21" t="s">
        <v>222</v>
      </c>
      <c r="C10" s="31" t="s">
        <v>223</v>
      </c>
      <c r="D10" s="4">
        <v>310</v>
      </c>
      <c r="E10" s="20">
        <v>15500</v>
      </c>
      <c r="F10" s="31" t="s">
        <v>224</v>
      </c>
      <c r="G10" s="105" t="s">
        <v>225</v>
      </c>
      <c r="H10" s="21" t="s">
        <v>288</v>
      </c>
      <c r="I10" s="11" t="s">
        <v>226</v>
      </c>
      <c r="J10" s="7" t="s">
        <v>227</v>
      </c>
      <c r="K10" s="4" t="s">
        <v>228</v>
      </c>
      <c r="L10" s="4"/>
    </row>
    <row r="11" spans="1:12" ht="135" x14ac:dyDescent="0.25">
      <c r="A11" s="4">
        <v>4</v>
      </c>
      <c r="B11" s="137" t="s">
        <v>1096</v>
      </c>
      <c r="C11" s="138" t="s">
        <v>16</v>
      </c>
      <c r="D11" s="138">
        <v>190</v>
      </c>
      <c r="E11" s="139">
        <v>10000</v>
      </c>
      <c r="F11" s="138" t="s">
        <v>53</v>
      </c>
      <c r="G11" s="138" t="s">
        <v>1097</v>
      </c>
      <c r="H11" s="150" t="s">
        <v>1098</v>
      </c>
      <c r="I11" s="140" t="s">
        <v>1099</v>
      </c>
      <c r="J11" s="138"/>
      <c r="K11" s="151"/>
      <c r="L11" s="4"/>
    </row>
    <row r="12" spans="1:12" ht="270" x14ac:dyDescent="0.25">
      <c r="A12" s="32">
        <v>5</v>
      </c>
      <c r="B12" s="34" t="s">
        <v>194</v>
      </c>
      <c r="C12" s="32" t="s">
        <v>195</v>
      </c>
      <c r="D12" s="33" t="s">
        <v>609</v>
      </c>
      <c r="E12" s="26">
        <v>9760</v>
      </c>
      <c r="F12" s="32" t="s">
        <v>196</v>
      </c>
      <c r="G12" s="34" t="s">
        <v>197</v>
      </c>
      <c r="H12" s="34" t="s">
        <v>198</v>
      </c>
      <c r="I12" s="34" t="s">
        <v>199</v>
      </c>
      <c r="J12" s="32" t="s">
        <v>610</v>
      </c>
      <c r="K12" s="26">
        <v>1294</v>
      </c>
      <c r="L12" s="32" t="s">
        <v>633</v>
      </c>
    </row>
    <row r="13" spans="1:12" ht="195" x14ac:dyDescent="0.25">
      <c r="A13" s="4">
        <v>6</v>
      </c>
      <c r="B13" s="137" t="s">
        <v>1081</v>
      </c>
      <c r="C13" s="138" t="s">
        <v>16</v>
      </c>
      <c r="D13" s="138">
        <v>62</v>
      </c>
      <c r="E13" s="139">
        <v>9000</v>
      </c>
      <c r="F13" s="138" t="s">
        <v>59</v>
      </c>
      <c r="G13" s="138" t="s">
        <v>58</v>
      </c>
      <c r="H13" s="138" t="s">
        <v>49</v>
      </c>
      <c r="I13" s="140" t="s">
        <v>57</v>
      </c>
      <c r="J13" s="138" t="s">
        <v>52</v>
      </c>
      <c r="K13" s="4"/>
      <c r="L13" s="4"/>
    </row>
    <row r="14" spans="1:12" ht="180" x14ac:dyDescent="0.25">
      <c r="A14" s="4">
        <v>7</v>
      </c>
      <c r="B14" s="137" t="s">
        <v>1090</v>
      </c>
      <c r="C14" s="138" t="s">
        <v>20</v>
      </c>
      <c r="D14" s="138">
        <v>122</v>
      </c>
      <c r="E14" s="139">
        <v>6600</v>
      </c>
      <c r="F14" s="138" t="s">
        <v>1091</v>
      </c>
      <c r="G14" s="138" t="s">
        <v>1092</v>
      </c>
      <c r="H14" s="150" t="s">
        <v>1088</v>
      </c>
      <c r="I14" s="140" t="s">
        <v>1093</v>
      </c>
      <c r="J14" s="138"/>
      <c r="K14" s="151"/>
      <c r="L14" s="4"/>
    </row>
    <row r="15" spans="1:12" ht="195" x14ac:dyDescent="0.25">
      <c r="A15" s="4">
        <v>8</v>
      </c>
      <c r="B15" s="137" t="s">
        <v>1094</v>
      </c>
      <c r="C15" s="138" t="s">
        <v>16</v>
      </c>
      <c r="D15" s="138">
        <v>47</v>
      </c>
      <c r="E15" s="139">
        <v>6600</v>
      </c>
      <c r="F15" s="138" t="s">
        <v>59</v>
      </c>
      <c r="G15" s="138" t="s">
        <v>58</v>
      </c>
      <c r="H15" s="150" t="s">
        <v>49</v>
      </c>
      <c r="I15" s="140" t="s">
        <v>1095</v>
      </c>
      <c r="J15" s="138" t="s">
        <v>52</v>
      </c>
      <c r="K15" s="151"/>
      <c r="L15" s="4"/>
    </row>
    <row r="16" spans="1:12" ht="120" x14ac:dyDescent="0.25">
      <c r="A16" s="4">
        <v>9</v>
      </c>
      <c r="B16" s="21" t="s">
        <v>842</v>
      </c>
      <c r="C16" s="4" t="s">
        <v>843</v>
      </c>
      <c r="D16" s="4">
        <v>70</v>
      </c>
      <c r="E16" s="20">
        <v>5000</v>
      </c>
      <c r="F16" s="4" t="s">
        <v>53</v>
      </c>
      <c r="G16" s="21" t="s">
        <v>844</v>
      </c>
      <c r="H16" s="21" t="s">
        <v>54</v>
      </c>
      <c r="I16" s="11" t="s">
        <v>845</v>
      </c>
      <c r="J16" s="4" t="s">
        <v>52</v>
      </c>
      <c r="K16" s="4">
        <v>300</v>
      </c>
      <c r="L16" s="4"/>
    </row>
    <row r="17" spans="1:12" ht="165" x14ac:dyDescent="0.25">
      <c r="A17" s="4">
        <v>10</v>
      </c>
      <c r="B17" s="137" t="s">
        <v>1100</v>
      </c>
      <c r="C17" s="138" t="s">
        <v>48</v>
      </c>
      <c r="D17" s="138">
        <v>98</v>
      </c>
      <c r="E17" s="139">
        <v>4500</v>
      </c>
      <c r="F17" s="138" t="s">
        <v>53</v>
      </c>
      <c r="G17" s="138" t="s">
        <v>1101</v>
      </c>
      <c r="H17" s="150" t="s">
        <v>1102</v>
      </c>
      <c r="I17" s="140" t="s">
        <v>1103</v>
      </c>
      <c r="J17" s="138"/>
      <c r="K17" s="151"/>
      <c r="L17" s="4"/>
    </row>
    <row r="18" spans="1:12" ht="135" x14ac:dyDescent="0.25">
      <c r="A18" s="32">
        <v>11</v>
      </c>
      <c r="B18" s="58" t="s">
        <v>594</v>
      </c>
      <c r="C18" s="17" t="s">
        <v>425</v>
      </c>
      <c r="D18" s="27">
        <v>127.78</v>
      </c>
      <c r="E18" s="62">
        <v>2000</v>
      </c>
      <c r="F18" s="17" t="s">
        <v>595</v>
      </c>
      <c r="G18" s="58" t="s">
        <v>670</v>
      </c>
      <c r="H18" s="58" t="s">
        <v>596</v>
      </c>
      <c r="I18" s="58" t="s">
        <v>597</v>
      </c>
      <c r="J18" s="17" t="s">
        <v>671</v>
      </c>
      <c r="K18" s="17">
        <v>100</v>
      </c>
      <c r="L18" s="27" t="s">
        <v>664</v>
      </c>
    </row>
    <row r="19" spans="1:12" ht="90" x14ac:dyDescent="0.25">
      <c r="A19" s="32">
        <v>12</v>
      </c>
      <c r="B19" s="34" t="s">
        <v>617</v>
      </c>
      <c r="C19" s="32" t="s">
        <v>176</v>
      </c>
      <c r="D19" s="32">
        <v>38.15</v>
      </c>
      <c r="E19" s="26">
        <v>1600</v>
      </c>
      <c r="F19" s="39" t="s">
        <v>188</v>
      </c>
      <c r="G19" s="107" t="s">
        <v>189</v>
      </c>
      <c r="H19" s="34" t="s">
        <v>193</v>
      </c>
      <c r="I19" s="40" t="s">
        <v>190</v>
      </c>
      <c r="J19" s="32" t="s">
        <v>618</v>
      </c>
      <c r="K19" s="26">
        <v>84</v>
      </c>
      <c r="L19" s="32"/>
    </row>
    <row r="20" spans="1:12" ht="270" x14ac:dyDescent="0.25">
      <c r="A20" s="4">
        <v>13</v>
      </c>
      <c r="B20" s="21" t="s">
        <v>552</v>
      </c>
      <c r="C20" s="4" t="s">
        <v>39</v>
      </c>
      <c r="D20" s="13">
        <v>48</v>
      </c>
      <c r="E20" s="36">
        <v>1500</v>
      </c>
      <c r="F20" s="4" t="s">
        <v>8</v>
      </c>
      <c r="G20" s="21" t="s">
        <v>38</v>
      </c>
      <c r="H20" s="21" t="s">
        <v>37</v>
      </c>
      <c r="I20" s="11" t="s">
        <v>318</v>
      </c>
      <c r="J20" s="4" t="s">
        <v>36</v>
      </c>
      <c r="K20" s="13">
        <v>120</v>
      </c>
      <c r="L20" s="4"/>
    </row>
    <row r="21" spans="1:12" ht="120" x14ac:dyDescent="0.25">
      <c r="A21" s="32">
        <v>14</v>
      </c>
      <c r="B21" s="106" t="s">
        <v>424</v>
      </c>
      <c r="C21" s="60" t="s">
        <v>425</v>
      </c>
      <c r="D21" s="60">
        <v>22.5</v>
      </c>
      <c r="E21" s="61">
        <v>1240</v>
      </c>
      <c r="F21" s="60" t="s">
        <v>426</v>
      </c>
      <c r="G21" s="106" t="s">
        <v>427</v>
      </c>
      <c r="H21" s="106" t="s">
        <v>428</v>
      </c>
      <c r="I21" s="58" t="s">
        <v>429</v>
      </c>
      <c r="J21" s="60" t="s">
        <v>430</v>
      </c>
      <c r="K21" s="32"/>
      <c r="L21" s="32"/>
    </row>
    <row r="22" spans="1:12" ht="165" x14ac:dyDescent="0.25">
      <c r="A22" s="4">
        <v>15</v>
      </c>
      <c r="B22" s="21" t="s">
        <v>51</v>
      </c>
      <c r="C22" s="4" t="s">
        <v>20</v>
      </c>
      <c r="D22" s="4" t="s">
        <v>162</v>
      </c>
      <c r="E22" s="20">
        <v>1200</v>
      </c>
      <c r="F22" s="4" t="s">
        <v>15</v>
      </c>
      <c r="G22" s="21" t="s">
        <v>50</v>
      </c>
      <c r="H22" s="21" t="s">
        <v>49</v>
      </c>
      <c r="I22" s="11" t="s">
        <v>216</v>
      </c>
      <c r="J22" s="4"/>
      <c r="K22" s="4"/>
      <c r="L22" s="4"/>
    </row>
    <row r="23" spans="1:12" ht="105" x14ac:dyDescent="0.25">
      <c r="A23" s="32">
        <v>16</v>
      </c>
      <c r="B23" s="34" t="s">
        <v>553</v>
      </c>
      <c r="C23" s="39" t="s">
        <v>182</v>
      </c>
      <c r="D23" s="32">
        <v>23.94</v>
      </c>
      <c r="E23" s="26">
        <v>1200</v>
      </c>
      <c r="F23" s="39" t="s">
        <v>183</v>
      </c>
      <c r="G23" s="107" t="s">
        <v>184</v>
      </c>
      <c r="H23" s="34" t="s">
        <v>185</v>
      </c>
      <c r="I23" s="34" t="s">
        <v>186</v>
      </c>
      <c r="J23" s="32" t="s">
        <v>187</v>
      </c>
      <c r="K23" s="32">
        <v>19.100000000000001</v>
      </c>
      <c r="L23" s="32"/>
    </row>
    <row r="24" spans="1:12" ht="195" x14ac:dyDescent="0.25">
      <c r="A24" s="32">
        <v>17</v>
      </c>
      <c r="B24" s="137" t="s">
        <v>1086</v>
      </c>
      <c r="C24" s="138" t="s">
        <v>48</v>
      </c>
      <c r="D24" s="138">
        <v>20</v>
      </c>
      <c r="E24" s="139">
        <v>800</v>
      </c>
      <c r="F24" s="138" t="s">
        <v>53</v>
      </c>
      <c r="G24" s="138" t="s">
        <v>1087</v>
      </c>
      <c r="H24" s="150" t="s">
        <v>1088</v>
      </c>
      <c r="I24" s="140" t="s">
        <v>1089</v>
      </c>
      <c r="J24" s="138" t="s">
        <v>52</v>
      </c>
      <c r="K24" s="151"/>
      <c r="L24" s="32"/>
    </row>
    <row r="25" spans="1:12" ht="225" x14ac:dyDescent="0.25">
      <c r="A25" s="32">
        <v>18</v>
      </c>
      <c r="B25" s="34" t="s">
        <v>578</v>
      </c>
      <c r="C25" s="39" t="s">
        <v>47</v>
      </c>
      <c r="D25" s="32" t="s">
        <v>136</v>
      </c>
      <c r="E25" s="26">
        <v>530</v>
      </c>
      <c r="F25" s="39" t="s">
        <v>46</v>
      </c>
      <c r="G25" s="107" t="s">
        <v>45</v>
      </c>
      <c r="H25" s="34" t="s">
        <v>44</v>
      </c>
      <c r="I25" s="40" t="s">
        <v>611</v>
      </c>
      <c r="J25" s="32" t="s">
        <v>612</v>
      </c>
      <c r="K25" s="26">
        <v>255</v>
      </c>
      <c r="L25" s="32" t="s">
        <v>633</v>
      </c>
    </row>
    <row r="26" spans="1:12" ht="75" x14ac:dyDescent="0.25">
      <c r="A26" s="4">
        <v>19</v>
      </c>
      <c r="B26" s="21" t="s">
        <v>476</v>
      </c>
      <c r="C26" s="4" t="s">
        <v>474</v>
      </c>
      <c r="D26" s="4">
        <v>54.77</v>
      </c>
      <c r="E26" s="23">
        <f>D26*7.862</f>
        <v>430.60174000000001</v>
      </c>
      <c r="F26" s="4" t="s">
        <v>465</v>
      </c>
      <c r="G26" s="21" t="s">
        <v>477</v>
      </c>
      <c r="H26" s="108" t="s">
        <v>478</v>
      </c>
      <c r="I26" s="21" t="s">
        <v>479</v>
      </c>
      <c r="J26" s="4" t="s">
        <v>52</v>
      </c>
      <c r="K26" s="41">
        <v>0</v>
      </c>
      <c r="L26" s="4"/>
    </row>
    <row r="27" spans="1:12" ht="120" x14ac:dyDescent="0.25">
      <c r="A27" s="4">
        <v>20</v>
      </c>
      <c r="B27" s="21" t="s">
        <v>848</v>
      </c>
      <c r="C27" s="4" t="s">
        <v>843</v>
      </c>
      <c r="D27" s="4">
        <v>100</v>
      </c>
      <c r="E27" s="20">
        <v>420</v>
      </c>
      <c r="F27" s="4" t="s">
        <v>53</v>
      </c>
      <c r="G27" s="21" t="s">
        <v>849</v>
      </c>
      <c r="H27" s="21" t="s">
        <v>54</v>
      </c>
      <c r="I27" s="11" t="s">
        <v>845</v>
      </c>
      <c r="J27" s="4" t="s">
        <v>22</v>
      </c>
      <c r="K27" s="4">
        <v>50</v>
      </c>
      <c r="L27" s="4"/>
    </row>
    <row r="28" spans="1:12" ht="15" customHeight="1" x14ac:dyDescent="0.25">
      <c r="A28" s="6" t="s">
        <v>93</v>
      </c>
      <c r="B28" s="168" t="s">
        <v>1120</v>
      </c>
      <c r="C28" s="169"/>
      <c r="D28" s="169"/>
      <c r="E28" s="169"/>
      <c r="F28" s="169"/>
      <c r="G28" s="169"/>
      <c r="H28" s="169"/>
      <c r="I28" s="169"/>
      <c r="J28" s="169"/>
      <c r="K28" s="169"/>
      <c r="L28" s="170"/>
    </row>
    <row r="29" spans="1:12" ht="195" x14ac:dyDescent="0.25">
      <c r="A29" s="4">
        <v>21</v>
      </c>
      <c r="B29" s="28" t="s">
        <v>786</v>
      </c>
      <c r="C29" s="14" t="s">
        <v>489</v>
      </c>
      <c r="D29" s="14">
        <v>60</v>
      </c>
      <c r="E29" s="68">
        <v>5000</v>
      </c>
      <c r="F29" s="14" t="s">
        <v>787</v>
      </c>
      <c r="G29" s="28" t="s">
        <v>788</v>
      </c>
      <c r="H29" s="28">
        <f>D29</f>
        <v>60</v>
      </c>
      <c r="I29" s="69" t="s">
        <v>789</v>
      </c>
      <c r="J29" s="14" t="s">
        <v>790</v>
      </c>
      <c r="K29" s="14" t="s">
        <v>791</v>
      </c>
      <c r="L29" s="4"/>
    </row>
    <row r="30" spans="1:12" ht="120" x14ac:dyDescent="0.25">
      <c r="A30" s="4">
        <v>22</v>
      </c>
      <c r="B30" s="21" t="s">
        <v>846</v>
      </c>
      <c r="C30" s="4" t="s">
        <v>843</v>
      </c>
      <c r="D30" s="4">
        <v>40</v>
      </c>
      <c r="E30" s="20">
        <v>3000</v>
      </c>
      <c r="F30" s="4" t="s">
        <v>53</v>
      </c>
      <c r="G30" s="21" t="s">
        <v>847</v>
      </c>
      <c r="H30" s="21" t="s">
        <v>54</v>
      </c>
      <c r="I30" s="11" t="s">
        <v>845</v>
      </c>
      <c r="J30" s="4" t="s">
        <v>52</v>
      </c>
      <c r="K30" s="4">
        <v>160</v>
      </c>
      <c r="L30" s="4"/>
    </row>
    <row r="31" spans="1:12" ht="300" x14ac:dyDescent="0.25">
      <c r="A31" s="4">
        <v>23</v>
      </c>
      <c r="B31" s="21" t="s">
        <v>209</v>
      </c>
      <c r="C31" s="4" t="s">
        <v>203</v>
      </c>
      <c r="D31" s="4">
        <v>51.07</v>
      </c>
      <c r="E31" s="20">
        <v>2850</v>
      </c>
      <c r="F31" s="4" t="s">
        <v>202</v>
      </c>
      <c r="G31" s="21" t="s">
        <v>204</v>
      </c>
      <c r="H31" s="21" t="s">
        <v>205</v>
      </c>
      <c r="I31" s="21" t="s">
        <v>317</v>
      </c>
      <c r="J31" s="4" t="s">
        <v>613</v>
      </c>
      <c r="K31" s="20">
        <v>200</v>
      </c>
      <c r="L31" s="4"/>
    </row>
    <row r="32" spans="1:12" ht="90" x14ac:dyDescent="0.25">
      <c r="A32" s="4">
        <v>24</v>
      </c>
      <c r="B32" s="21" t="s">
        <v>331</v>
      </c>
      <c r="C32" s="4" t="s">
        <v>176</v>
      </c>
      <c r="D32" s="4">
        <v>54.46</v>
      </c>
      <c r="E32" s="20">
        <v>2650</v>
      </c>
      <c r="F32" s="31" t="s">
        <v>183</v>
      </c>
      <c r="G32" s="21" t="s">
        <v>192</v>
      </c>
      <c r="H32" s="21" t="s">
        <v>193</v>
      </c>
      <c r="I32" s="21" t="s">
        <v>316</v>
      </c>
      <c r="J32" s="4" t="s">
        <v>614</v>
      </c>
      <c r="K32" s="42">
        <v>149.32</v>
      </c>
      <c r="L32" s="4"/>
    </row>
    <row r="33" spans="1:12" ht="75" x14ac:dyDescent="0.25">
      <c r="A33" s="4">
        <v>25</v>
      </c>
      <c r="B33" s="109" t="s">
        <v>213</v>
      </c>
      <c r="C33" s="43" t="s">
        <v>28</v>
      </c>
      <c r="D33" s="43" t="s">
        <v>31</v>
      </c>
      <c r="E33" s="20">
        <v>2580</v>
      </c>
      <c r="F33" s="4" t="s">
        <v>26</v>
      </c>
      <c r="G33" s="21" t="s">
        <v>25</v>
      </c>
      <c r="H33" s="109" t="s">
        <v>30</v>
      </c>
      <c r="I33" s="11" t="s">
        <v>29</v>
      </c>
      <c r="J33" s="4" t="s">
        <v>22</v>
      </c>
      <c r="K33" s="13"/>
      <c r="L33" s="4"/>
    </row>
    <row r="34" spans="1:12" ht="210" x14ac:dyDescent="0.25">
      <c r="A34" s="4">
        <v>26</v>
      </c>
      <c r="B34" s="21" t="s">
        <v>200</v>
      </c>
      <c r="C34" s="4" t="s">
        <v>201</v>
      </c>
      <c r="D34" s="4">
        <v>27.8</v>
      </c>
      <c r="E34" s="20">
        <v>2160</v>
      </c>
      <c r="F34" s="4" t="s">
        <v>202</v>
      </c>
      <c r="G34" s="21" t="s">
        <v>206</v>
      </c>
      <c r="H34" s="21" t="s">
        <v>210</v>
      </c>
      <c r="I34" s="11" t="s">
        <v>211</v>
      </c>
      <c r="J34" s="4" t="s">
        <v>615</v>
      </c>
      <c r="K34" s="20">
        <v>560</v>
      </c>
      <c r="L34" s="3"/>
    </row>
    <row r="35" spans="1:12" ht="90" x14ac:dyDescent="0.25">
      <c r="A35" s="4">
        <v>27</v>
      </c>
      <c r="B35" s="109" t="s">
        <v>212</v>
      </c>
      <c r="C35" s="43" t="s">
        <v>28</v>
      </c>
      <c r="D35" s="43" t="s">
        <v>27</v>
      </c>
      <c r="E35" s="20">
        <v>2100</v>
      </c>
      <c r="F35" s="4" t="s">
        <v>26</v>
      </c>
      <c r="G35" s="21" t="s">
        <v>25</v>
      </c>
      <c r="H35" s="109" t="s">
        <v>24</v>
      </c>
      <c r="I35" s="11" t="s">
        <v>23</v>
      </c>
      <c r="J35" s="4" t="s">
        <v>22</v>
      </c>
      <c r="K35" s="13"/>
      <c r="L35" s="3"/>
    </row>
    <row r="36" spans="1:12" ht="105" x14ac:dyDescent="0.25">
      <c r="A36" s="4">
        <v>28</v>
      </c>
      <c r="B36" s="21" t="s">
        <v>332</v>
      </c>
      <c r="C36" s="4" t="s">
        <v>176</v>
      </c>
      <c r="D36" s="4">
        <v>25.83</v>
      </c>
      <c r="E36" s="20">
        <v>1750</v>
      </c>
      <c r="F36" s="31" t="s">
        <v>183</v>
      </c>
      <c r="G36" s="21" t="s">
        <v>191</v>
      </c>
      <c r="H36" s="21" t="s">
        <v>193</v>
      </c>
      <c r="I36" s="21" t="s">
        <v>315</v>
      </c>
      <c r="J36" s="4" t="s">
        <v>616</v>
      </c>
      <c r="K36" s="42">
        <v>61.42</v>
      </c>
      <c r="L36" s="3"/>
    </row>
    <row r="37" spans="1:12" ht="60" x14ac:dyDescent="0.25">
      <c r="A37" s="4">
        <v>29</v>
      </c>
      <c r="B37" s="28" t="s">
        <v>353</v>
      </c>
      <c r="C37" s="14" t="s">
        <v>354</v>
      </c>
      <c r="D37" s="9">
        <v>100</v>
      </c>
      <c r="E37" s="23">
        <v>1000</v>
      </c>
      <c r="F37" s="14" t="s">
        <v>355</v>
      </c>
      <c r="G37" s="28" t="s">
        <v>356</v>
      </c>
      <c r="H37" s="21"/>
      <c r="I37" s="28" t="s">
        <v>357</v>
      </c>
      <c r="J37" s="4"/>
      <c r="K37" s="4"/>
      <c r="L37" s="4"/>
    </row>
    <row r="38" spans="1:12" ht="75" x14ac:dyDescent="0.25">
      <c r="A38" s="4">
        <v>30</v>
      </c>
      <c r="B38" s="109" t="s">
        <v>333</v>
      </c>
      <c r="C38" s="43" t="s">
        <v>28</v>
      </c>
      <c r="D38" s="43" t="s">
        <v>35</v>
      </c>
      <c r="E38" s="20">
        <v>890</v>
      </c>
      <c r="F38" s="4" t="s">
        <v>26</v>
      </c>
      <c r="G38" s="21" t="s">
        <v>25</v>
      </c>
      <c r="H38" s="109" t="s">
        <v>33</v>
      </c>
      <c r="I38" s="11" t="s">
        <v>32</v>
      </c>
      <c r="J38" s="4" t="s">
        <v>22</v>
      </c>
      <c r="K38" s="13"/>
      <c r="L38" s="4"/>
    </row>
    <row r="39" spans="1:12" ht="75" x14ac:dyDescent="0.25">
      <c r="A39" s="4">
        <v>31</v>
      </c>
      <c r="B39" s="109" t="s">
        <v>214</v>
      </c>
      <c r="C39" s="43" t="s">
        <v>28</v>
      </c>
      <c r="D39" s="43" t="s">
        <v>34</v>
      </c>
      <c r="E39" s="20">
        <v>830</v>
      </c>
      <c r="F39" s="4" t="s">
        <v>26</v>
      </c>
      <c r="G39" s="21" t="s">
        <v>25</v>
      </c>
      <c r="H39" s="109" t="s">
        <v>33</v>
      </c>
      <c r="I39" s="11" t="s">
        <v>32</v>
      </c>
      <c r="J39" s="4" t="s">
        <v>22</v>
      </c>
      <c r="K39" s="13"/>
      <c r="L39" s="4"/>
    </row>
    <row r="40" spans="1:12" ht="150" x14ac:dyDescent="0.25">
      <c r="A40" s="4">
        <v>32</v>
      </c>
      <c r="B40" s="21" t="s">
        <v>579</v>
      </c>
      <c r="C40" s="31" t="s">
        <v>229</v>
      </c>
      <c r="D40" s="4">
        <v>10.02</v>
      </c>
      <c r="E40" s="20">
        <v>680</v>
      </c>
      <c r="F40" s="31" t="s">
        <v>230</v>
      </c>
      <c r="G40" s="105" t="s">
        <v>313</v>
      </c>
      <c r="H40" s="21" t="s">
        <v>287</v>
      </c>
      <c r="I40" s="11" t="s">
        <v>311</v>
      </c>
      <c r="J40" s="4" t="s">
        <v>231</v>
      </c>
      <c r="K40" s="4">
        <v>30</v>
      </c>
      <c r="L40" s="4"/>
    </row>
    <row r="41" spans="1:12" ht="150" x14ac:dyDescent="0.25">
      <c r="A41" s="4">
        <v>33</v>
      </c>
      <c r="B41" s="21" t="s">
        <v>580</v>
      </c>
      <c r="C41" s="4" t="s">
        <v>229</v>
      </c>
      <c r="D41" s="4">
        <v>10.210000000000001</v>
      </c>
      <c r="E41" s="20">
        <v>640</v>
      </c>
      <c r="F41" s="31" t="s">
        <v>230</v>
      </c>
      <c r="G41" s="21" t="s">
        <v>314</v>
      </c>
      <c r="H41" s="21" t="s">
        <v>287</v>
      </c>
      <c r="I41" s="11" t="s">
        <v>312</v>
      </c>
      <c r="J41" s="4" t="s">
        <v>231</v>
      </c>
      <c r="K41" s="4">
        <v>30</v>
      </c>
      <c r="L41" s="4"/>
    </row>
    <row r="42" spans="1:12" ht="165" x14ac:dyDescent="0.25">
      <c r="A42" s="32">
        <v>34</v>
      </c>
      <c r="B42" s="34" t="s">
        <v>660</v>
      </c>
      <c r="C42" s="32" t="s">
        <v>232</v>
      </c>
      <c r="D42" s="32">
        <v>34</v>
      </c>
      <c r="E42" s="26">
        <v>600</v>
      </c>
      <c r="F42" s="32" t="s">
        <v>233</v>
      </c>
      <c r="G42" s="34" t="s">
        <v>661</v>
      </c>
      <c r="H42" s="34" t="s">
        <v>37</v>
      </c>
      <c r="I42" s="40" t="s">
        <v>310</v>
      </c>
      <c r="J42" s="32" t="s">
        <v>663</v>
      </c>
      <c r="K42" s="32">
        <v>170</v>
      </c>
      <c r="L42" s="32" t="s">
        <v>662</v>
      </c>
    </row>
    <row r="43" spans="1:12" ht="105" x14ac:dyDescent="0.25">
      <c r="A43" s="4">
        <v>35</v>
      </c>
      <c r="B43" s="70" t="s">
        <v>919</v>
      </c>
      <c r="C43" s="24" t="s">
        <v>672</v>
      </c>
      <c r="D43" s="24">
        <v>75</v>
      </c>
      <c r="E43" s="24">
        <v>600</v>
      </c>
      <c r="F43" s="24" t="s">
        <v>673</v>
      </c>
      <c r="G43" s="70" t="s">
        <v>674</v>
      </c>
      <c r="H43" s="70"/>
      <c r="I43" s="70" t="s">
        <v>675</v>
      </c>
      <c r="J43" s="24" t="s">
        <v>676</v>
      </c>
      <c r="K43" s="24">
        <f>75*4</f>
        <v>300</v>
      </c>
      <c r="L43" s="4"/>
    </row>
    <row r="44" spans="1:12" ht="135" x14ac:dyDescent="0.25">
      <c r="A44" s="4">
        <v>36</v>
      </c>
      <c r="B44" s="21" t="s">
        <v>581</v>
      </c>
      <c r="C44" s="4" t="s">
        <v>43</v>
      </c>
      <c r="D44" s="4" t="s">
        <v>137</v>
      </c>
      <c r="E44" s="20">
        <v>500</v>
      </c>
      <c r="F44" s="4" t="s">
        <v>42</v>
      </c>
      <c r="G44" s="21" t="s">
        <v>41</v>
      </c>
      <c r="H44" s="21" t="s">
        <v>40</v>
      </c>
      <c r="I44" s="11" t="s">
        <v>309</v>
      </c>
      <c r="J44" s="4" t="s">
        <v>7</v>
      </c>
      <c r="K44" s="4">
        <v>500</v>
      </c>
      <c r="L44" s="4"/>
    </row>
    <row r="45" spans="1:12" ht="105" x14ac:dyDescent="0.25">
      <c r="A45" s="4">
        <v>37</v>
      </c>
      <c r="B45" s="8" t="s">
        <v>508</v>
      </c>
      <c r="C45" s="9" t="s">
        <v>509</v>
      </c>
      <c r="D45" s="9">
        <v>0.99</v>
      </c>
      <c r="E45" s="23" t="s">
        <v>510</v>
      </c>
      <c r="F45" s="44" t="s">
        <v>284</v>
      </c>
      <c r="G45" s="101" t="s">
        <v>511</v>
      </c>
      <c r="H45" s="8" t="s">
        <v>33</v>
      </c>
      <c r="I45" s="28" t="s">
        <v>512</v>
      </c>
      <c r="J45" s="14" t="s">
        <v>513</v>
      </c>
      <c r="K45" s="14">
        <v>35</v>
      </c>
      <c r="L45" s="4"/>
    </row>
    <row r="46" spans="1:12" ht="195" x14ac:dyDescent="0.25">
      <c r="A46" s="4">
        <v>38</v>
      </c>
      <c r="B46" s="15" t="s">
        <v>488</v>
      </c>
      <c r="C46" s="19" t="s">
        <v>489</v>
      </c>
      <c r="D46" s="19">
        <v>59</v>
      </c>
      <c r="E46" s="20" t="s">
        <v>490</v>
      </c>
      <c r="F46" s="9" t="s">
        <v>491</v>
      </c>
      <c r="G46" s="8" t="s">
        <v>492</v>
      </c>
      <c r="H46" s="15" t="s">
        <v>493</v>
      </c>
      <c r="I46" s="15" t="s">
        <v>494</v>
      </c>
      <c r="J46" s="19" t="s">
        <v>495</v>
      </c>
      <c r="K46" s="14"/>
      <c r="L46" s="4"/>
    </row>
    <row r="47" spans="1:12" ht="15" customHeight="1" x14ac:dyDescent="0.25">
      <c r="A47" s="6" t="s">
        <v>351</v>
      </c>
      <c r="B47" s="165" t="s">
        <v>1121</v>
      </c>
      <c r="C47" s="166"/>
      <c r="D47" s="166"/>
      <c r="E47" s="166"/>
      <c r="F47" s="166"/>
      <c r="G47" s="166"/>
      <c r="H47" s="166"/>
      <c r="I47" s="166"/>
      <c r="J47" s="166"/>
      <c r="K47" s="166"/>
      <c r="L47" s="167"/>
    </row>
    <row r="48" spans="1:12" ht="60" x14ac:dyDescent="0.25">
      <c r="A48" s="32">
        <v>39</v>
      </c>
      <c r="B48" s="34" t="s">
        <v>334</v>
      </c>
      <c r="C48" s="32" t="s">
        <v>244</v>
      </c>
      <c r="D48" s="32" t="s">
        <v>245</v>
      </c>
      <c r="E48" s="26">
        <v>6390</v>
      </c>
      <c r="F48" s="32" t="s">
        <v>241</v>
      </c>
      <c r="G48" s="34" t="s">
        <v>11</v>
      </c>
      <c r="H48" s="34" t="s">
        <v>246</v>
      </c>
      <c r="I48" s="40" t="s">
        <v>247</v>
      </c>
      <c r="J48" s="32" t="s">
        <v>619</v>
      </c>
      <c r="K48" s="26">
        <v>9</v>
      </c>
      <c r="L48" s="135"/>
    </row>
    <row r="49" spans="1:12" ht="165" x14ac:dyDescent="0.25">
      <c r="A49" s="138">
        <v>40</v>
      </c>
      <c r="B49" s="137" t="s">
        <v>1104</v>
      </c>
      <c r="C49" s="138" t="s">
        <v>48</v>
      </c>
      <c r="D49" s="138">
        <v>6</v>
      </c>
      <c r="E49" s="139">
        <v>2500</v>
      </c>
      <c r="F49" s="138" t="s">
        <v>53</v>
      </c>
      <c r="G49" s="138" t="s">
        <v>1101</v>
      </c>
      <c r="H49" s="138" t="s">
        <v>1105</v>
      </c>
      <c r="I49" s="140" t="s">
        <v>1103</v>
      </c>
      <c r="J49" s="138"/>
      <c r="K49" s="149"/>
      <c r="L49" s="135"/>
    </row>
    <row r="50" spans="1:12" ht="60" x14ac:dyDescent="0.25">
      <c r="A50" s="32">
        <v>41</v>
      </c>
      <c r="B50" s="34" t="s">
        <v>335</v>
      </c>
      <c r="C50" s="32" t="s">
        <v>240</v>
      </c>
      <c r="D50" s="32" t="s">
        <v>252</v>
      </c>
      <c r="E50" s="26">
        <v>2320</v>
      </c>
      <c r="F50" s="32" t="s">
        <v>241</v>
      </c>
      <c r="G50" s="34" t="s">
        <v>11</v>
      </c>
      <c r="H50" s="34" t="s">
        <v>253</v>
      </c>
      <c r="I50" s="40" t="s">
        <v>254</v>
      </c>
      <c r="J50" s="32" t="s">
        <v>620</v>
      </c>
      <c r="K50" s="45">
        <v>18.5</v>
      </c>
      <c r="L50" s="135"/>
    </row>
    <row r="51" spans="1:12" ht="60" x14ac:dyDescent="0.25">
      <c r="A51" s="32">
        <v>42</v>
      </c>
      <c r="B51" s="34" t="s">
        <v>336</v>
      </c>
      <c r="C51" s="32" t="s">
        <v>16</v>
      </c>
      <c r="D51" s="32">
        <v>4.55</v>
      </c>
      <c r="E51" s="26">
        <v>2270</v>
      </c>
      <c r="F51" s="32" t="s">
        <v>234</v>
      </c>
      <c r="G51" s="34" t="s">
        <v>265</v>
      </c>
      <c r="H51" s="34" t="s">
        <v>266</v>
      </c>
      <c r="I51" s="34" t="s">
        <v>267</v>
      </c>
      <c r="J51" s="32" t="s">
        <v>621</v>
      </c>
      <c r="K51" s="45">
        <v>99.5</v>
      </c>
      <c r="L51" s="135"/>
    </row>
    <row r="52" spans="1:12" ht="105" x14ac:dyDescent="0.25">
      <c r="A52" s="32">
        <v>43</v>
      </c>
      <c r="B52" s="34" t="s">
        <v>582</v>
      </c>
      <c r="C52" s="32" t="s">
        <v>622</v>
      </c>
      <c r="D52" s="32" t="s">
        <v>249</v>
      </c>
      <c r="E52" s="26">
        <v>2260</v>
      </c>
      <c r="F52" s="32" t="s">
        <v>241</v>
      </c>
      <c r="G52" s="34" t="s">
        <v>11</v>
      </c>
      <c r="H52" s="34" t="s">
        <v>250</v>
      </c>
      <c r="I52" s="40" t="s">
        <v>251</v>
      </c>
      <c r="J52" s="32" t="s">
        <v>623</v>
      </c>
      <c r="K52" s="45">
        <v>5.7</v>
      </c>
      <c r="L52" s="135"/>
    </row>
    <row r="53" spans="1:12" ht="60" x14ac:dyDescent="0.25">
      <c r="A53" s="32">
        <v>44</v>
      </c>
      <c r="B53" s="34" t="s">
        <v>337</v>
      </c>
      <c r="C53" s="32" t="s">
        <v>240</v>
      </c>
      <c r="D53" s="32">
        <v>4.28</v>
      </c>
      <c r="E53" s="26">
        <v>2140</v>
      </c>
      <c r="F53" s="32" t="s">
        <v>241</v>
      </c>
      <c r="G53" s="34" t="s">
        <v>11</v>
      </c>
      <c r="H53" s="34" t="s">
        <v>257</v>
      </c>
      <c r="I53" s="34" t="s">
        <v>258</v>
      </c>
      <c r="J53" s="32" t="s">
        <v>624</v>
      </c>
      <c r="K53" s="26">
        <v>6</v>
      </c>
      <c r="L53" s="135"/>
    </row>
    <row r="54" spans="1:12" ht="45" x14ac:dyDescent="0.25">
      <c r="A54" s="4">
        <v>45</v>
      </c>
      <c r="B54" s="21" t="s">
        <v>338</v>
      </c>
      <c r="C54" s="4" t="s">
        <v>262</v>
      </c>
      <c r="D54" s="4">
        <v>3.6</v>
      </c>
      <c r="E54" s="23">
        <v>1800</v>
      </c>
      <c r="F54" s="46" t="s">
        <v>263</v>
      </c>
      <c r="G54" s="110" t="s">
        <v>237</v>
      </c>
      <c r="H54" s="110" t="s">
        <v>264</v>
      </c>
      <c r="I54" s="21" t="s">
        <v>308</v>
      </c>
      <c r="J54" s="46" t="s">
        <v>22</v>
      </c>
      <c r="K54" s="4">
        <v>0.6</v>
      </c>
      <c r="L54" s="103"/>
    </row>
    <row r="55" spans="1:12" ht="45" x14ac:dyDescent="0.25">
      <c r="A55" s="4">
        <v>46</v>
      </c>
      <c r="B55" s="21" t="s">
        <v>339</v>
      </c>
      <c r="C55" s="4" t="s">
        <v>16</v>
      </c>
      <c r="D55" s="4">
        <v>3</v>
      </c>
      <c r="E55" s="23">
        <v>1500</v>
      </c>
      <c r="F55" s="46" t="s">
        <v>241</v>
      </c>
      <c r="G55" s="110" t="s">
        <v>259</v>
      </c>
      <c r="H55" s="110" t="s">
        <v>260</v>
      </c>
      <c r="I55" s="21" t="s">
        <v>261</v>
      </c>
      <c r="J55" s="46" t="s">
        <v>22</v>
      </c>
      <c r="K55" s="4">
        <v>8.5</v>
      </c>
      <c r="L55" s="103"/>
    </row>
    <row r="56" spans="1:12" ht="105" x14ac:dyDescent="0.25">
      <c r="A56" s="32">
        <v>47</v>
      </c>
      <c r="B56" s="34" t="s">
        <v>340</v>
      </c>
      <c r="C56" s="32" t="s">
        <v>240</v>
      </c>
      <c r="D56" s="32">
        <v>2.95</v>
      </c>
      <c r="E56" s="26">
        <v>1480</v>
      </c>
      <c r="F56" s="32" t="s">
        <v>241</v>
      </c>
      <c r="G56" s="34" t="s">
        <v>11</v>
      </c>
      <c r="H56" s="34" t="s">
        <v>242</v>
      </c>
      <c r="I56" s="40" t="s">
        <v>243</v>
      </c>
      <c r="J56" s="32" t="s">
        <v>625</v>
      </c>
      <c r="K56" s="32">
        <v>3</v>
      </c>
      <c r="L56" s="32"/>
    </row>
    <row r="57" spans="1:12" ht="45" x14ac:dyDescent="0.25">
      <c r="A57" s="4">
        <v>48</v>
      </c>
      <c r="B57" s="21" t="s">
        <v>341</v>
      </c>
      <c r="C57" s="4" t="s">
        <v>240</v>
      </c>
      <c r="D57" s="4">
        <v>2.06</v>
      </c>
      <c r="E57" s="20">
        <v>1030</v>
      </c>
      <c r="F57" s="4" t="s">
        <v>241</v>
      </c>
      <c r="G57" s="21" t="s">
        <v>11</v>
      </c>
      <c r="H57" s="21" t="s">
        <v>255</v>
      </c>
      <c r="I57" s="11" t="s">
        <v>256</v>
      </c>
      <c r="J57" s="4" t="s">
        <v>248</v>
      </c>
      <c r="K57" s="4">
        <v>8.1999999999999993</v>
      </c>
      <c r="L57" s="4"/>
    </row>
    <row r="58" spans="1:12" ht="90" x14ac:dyDescent="0.25">
      <c r="A58" s="4">
        <v>49</v>
      </c>
      <c r="B58" s="28" t="s">
        <v>562</v>
      </c>
      <c r="C58" s="4" t="s">
        <v>608</v>
      </c>
      <c r="D58" s="4" t="s">
        <v>563</v>
      </c>
      <c r="E58" s="20">
        <v>894</v>
      </c>
      <c r="F58" s="14" t="s">
        <v>564</v>
      </c>
      <c r="G58" s="28" t="s">
        <v>565</v>
      </c>
      <c r="H58" s="28" t="s">
        <v>566</v>
      </c>
      <c r="I58" s="28" t="s">
        <v>567</v>
      </c>
      <c r="J58" s="4" t="s">
        <v>22</v>
      </c>
      <c r="K58" s="4"/>
      <c r="L58" s="4"/>
    </row>
    <row r="59" spans="1:12" ht="60" x14ac:dyDescent="0.25">
      <c r="A59" s="32">
        <v>50</v>
      </c>
      <c r="B59" s="34" t="s">
        <v>342</v>
      </c>
      <c r="C59" s="32" t="s">
        <v>48</v>
      </c>
      <c r="D59" s="32">
        <v>1.36</v>
      </c>
      <c r="E59" s="26">
        <v>680</v>
      </c>
      <c r="F59" s="32" t="s">
        <v>268</v>
      </c>
      <c r="G59" s="34" t="s">
        <v>269</v>
      </c>
      <c r="H59" s="34" t="s">
        <v>270</v>
      </c>
      <c r="I59" s="34" t="s">
        <v>271</v>
      </c>
      <c r="J59" s="32" t="s">
        <v>626</v>
      </c>
      <c r="K59" s="32">
        <v>16</v>
      </c>
      <c r="L59" s="32"/>
    </row>
  </sheetData>
  <autoFilter ref="A6:L59" xr:uid="{00000000-0009-0000-0000-000001000000}"/>
  <mergeCells count="6">
    <mergeCell ref="A2:L2"/>
    <mergeCell ref="B47:L47"/>
    <mergeCell ref="B28:L28"/>
    <mergeCell ref="B7:L7"/>
    <mergeCell ref="B3:L3"/>
    <mergeCell ref="B4:L4"/>
  </mergeCells>
  <pageMargins left="0.7" right="0.7" top="0.75" bottom="0.75" header="0.3" footer="0.3"/>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N42"/>
  <sheetViews>
    <sheetView zoomScale="90" zoomScaleNormal="90" workbookViewId="0">
      <selection activeCell="C6" sqref="C6"/>
    </sheetView>
  </sheetViews>
  <sheetFormatPr defaultRowHeight="15" x14ac:dyDescent="0.25"/>
  <cols>
    <col min="1" max="1" width="5.7109375" style="102" customWidth="1"/>
    <col min="2" max="2" width="20.7109375" style="104" customWidth="1"/>
    <col min="3" max="3" width="14.140625" style="102" customWidth="1"/>
    <col min="4" max="4" width="9.5703125" style="102" customWidth="1"/>
    <col min="5" max="5" width="10.7109375" style="102" customWidth="1"/>
    <col min="6" max="6" width="16.7109375" style="102" customWidth="1"/>
    <col min="7" max="7" width="23" style="104" customWidth="1"/>
    <col min="8" max="8" width="35" style="104" customWidth="1"/>
    <col min="9" max="9" width="43.7109375" style="104" customWidth="1"/>
    <col min="10" max="12" width="16.5703125" style="102" customWidth="1"/>
    <col min="13" max="16384" width="9.140625" style="104"/>
  </cols>
  <sheetData>
    <row r="1" spans="1:12" s="102" customFormat="1" x14ac:dyDescent="0.25"/>
    <row r="2" spans="1:12" s="102" customFormat="1" ht="41.25" customHeight="1" x14ac:dyDescent="0.25">
      <c r="A2" s="171" t="s">
        <v>1125</v>
      </c>
      <c r="B2" s="172"/>
      <c r="C2" s="172"/>
      <c r="D2" s="172"/>
      <c r="E2" s="172"/>
      <c r="F2" s="172"/>
      <c r="G2" s="172"/>
      <c r="H2" s="172"/>
      <c r="I2" s="172"/>
      <c r="J2" s="172"/>
      <c r="K2" s="172"/>
      <c r="L2" s="172"/>
    </row>
    <row r="3" spans="1:12" s="102" customFormat="1" x14ac:dyDescent="0.25"/>
    <row r="4" spans="1:12" s="102" customFormat="1" ht="75" customHeight="1" x14ac:dyDescent="0.25">
      <c r="A4" s="1" t="s">
        <v>114</v>
      </c>
      <c r="B4" s="1" t="s">
        <v>113</v>
      </c>
      <c r="C4" s="1" t="s">
        <v>112</v>
      </c>
      <c r="D4" s="1" t="s">
        <v>111</v>
      </c>
      <c r="E4" s="2" t="s">
        <v>110</v>
      </c>
      <c r="F4" s="1" t="s">
        <v>109</v>
      </c>
      <c r="G4" s="1" t="s">
        <v>108</v>
      </c>
      <c r="H4" s="1" t="s">
        <v>107</v>
      </c>
      <c r="I4" s="1" t="s">
        <v>106</v>
      </c>
      <c r="J4" s="1" t="s">
        <v>105</v>
      </c>
      <c r="K4" s="1" t="s">
        <v>1054</v>
      </c>
      <c r="L4" s="10" t="s">
        <v>632</v>
      </c>
    </row>
    <row r="5" spans="1:12" x14ac:dyDescent="0.25">
      <c r="A5" s="6" t="s">
        <v>104</v>
      </c>
      <c r="B5" s="173" t="s">
        <v>1123</v>
      </c>
      <c r="C5" s="173"/>
      <c r="D5" s="173"/>
      <c r="E5" s="173"/>
      <c r="F5" s="173"/>
      <c r="G5" s="173"/>
      <c r="H5" s="173"/>
      <c r="I5" s="173"/>
      <c r="J5" s="173"/>
      <c r="K5" s="173"/>
      <c r="L5" s="173"/>
    </row>
    <row r="6" spans="1:12" ht="240" x14ac:dyDescent="0.25">
      <c r="A6" s="22">
        <v>1</v>
      </c>
      <c r="B6" s="21" t="s">
        <v>343</v>
      </c>
      <c r="C6" s="4" t="s">
        <v>103</v>
      </c>
      <c r="D6" s="4" t="s">
        <v>102</v>
      </c>
      <c r="E6" s="20">
        <v>4000</v>
      </c>
      <c r="F6" s="4" t="s">
        <v>53</v>
      </c>
      <c r="G6" s="21" t="s">
        <v>101</v>
      </c>
      <c r="H6" s="21" t="s">
        <v>573</v>
      </c>
      <c r="I6" s="11" t="s">
        <v>100</v>
      </c>
      <c r="J6" s="4" t="s">
        <v>99</v>
      </c>
      <c r="K6" s="3"/>
      <c r="L6" s="4"/>
    </row>
    <row r="7" spans="1:12" ht="150" x14ac:dyDescent="0.25">
      <c r="A7" s="22">
        <v>2</v>
      </c>
      <c r="B7" s="21" t="s">
        <v>344</v>
      </c>
      <c r="C7" s="4" t="s">
        <v>20</v>
      </c>
      <c r="D7" s="4" t="s">
        <v>134</v>
      </c>
      <c r="E7" s="20">
        <v>3650</v>
      </c>
      <c r="F7" s="4" t="s">
        <v>53</v>
      </c>
      <c r="G7" s="21" t="s">
        <v>97</v>
      </c>
      <c r="H7" s="21" t="s">
        <v>573</v>
      </c>
      <c r="I7" s="11" t="s">
        <v>69</v>
      </c>
      <c r="J7" s="4"/>
      <c r="K7" s="3"/>
      <c r="L7" s="4"/>
    </row>
    <row r="8" spans="1:12" ht="60" x14ac:dyDescent="0.25">
      <c r="A8" s="22">
        <v>3</v>
      </c>
      <c r="B8" s="21" t="s">
        <v>464</v>
      </c>
      <c r="C8" s="9" t="s">
        <v>463</v>
      </c>
      <c r="D8" s="19">
        <v>480</v>
      </c>
      <c r="E8" s="20">
        <v>3650</v>
      </c>
      <c r="F8" s="4" t="s">
        <v>465</v>
      </c>
      <c r="G8" s="21" t="s">
        <v>466</v>
      </c>
      <c r="H8" s="15" t="s">
        <v>571</v>
      </c>
      <c r="I8" s="15" t="s">
        <v>473</v>
      </c>
      <c r="J8" s="4" t="s">
        <v>52</v>
      </c>
      <c r="K8" s="19">
        <v>960</v>
      </c>
      <c r="L8" s="4"/>
    </row>
    <row r="9" spans="1:12" ht="150" x14ac:dyDescent="0.25">
      <c r="A9" s="22">
        <v>4</v>
      </c>
      <c r="B9" s="142" t="s">
        <v>1070</v>
      </c>
      <c r="C9" s="143" t="s">
        <v>16</v>
      </c>
      <c r="D9" s="144">
        <v>443</v>
      </c>
      <c r="E9" s="145">
        <v>3600</v>
      </c>
      <c r="F9" s="143" t="s">
        <v>53</v>
      </c>
      <c r="G9" s="143" t="s">
        <v>1071</v>
      </c>
      <c r="H9" s="143" t="s">
        <v>1072</v>
      </c>
      <c r="I9" s="146" t="s">
        <v>1073</v>
      </c>
      <c r="J9" s="138" t="s">
        <v>52</v>
      </c>
      <c r="K9" s="147"/>
      <c r="L9" s="4"/>
    </row>
    <row r="10" spans="1:12" ht="150" x14ac:dyDescent="0.25">
      <c r="A10" s="22">
        <v>5</v>
      </c>
      <c r="B10" s="137" t="s">
        <v>345</v>
      </c>
      <c r="C10" s="138" t="s">
        <v>67</v>
      </c>
      <c r="D10" s="138">
        <v>420</v>
      </c>
      <c r="E10" s="139">
        <v>3380</v>
      </c>
      <c r="F10" s="138" t="s">
        <v>53</v>
      </c>
      <c r="G10" s="138" t="s">
        <v>98</v>
      </c>
      <c r="H10" s="138" t="s">
        <v>1069</v>
      </c>
      <c r="I10" s="140" t="s">
        <v>69</v>
      </c>
      <c r="J10" s="138"/>
      <c r="K10" s="141"/>
      <c r="L10" s="4"/>
    </row>
    <row r="11" spans="1:12" ht="60" x14ac:dyDescent="0.25">
      <c r="A11" s="22">
        <v>6</v>
      </c>
      <c r="B11" s="21" t="s">
        <v>468</v>
      </c>
      <c r="C11" s="19" t="s">
        <v>467</v>
      </c>
      <c r="D11" s="19">
        <v>400</v>
      </c>
      <c r="E11" s="20">
        <v>3050</v>
      </c>
      <c r="F11" s="4" t="s">
        <v>465</v>
      </c>
      <c r="G11" s="21" t="s">
        <v>466</v>
      </c>
      <c r="H11" s="15" t="s">
        <v>571</v>
      </c>
      <c r="I11" s="15" t="s">
        <v>473</v>
      </c>
      <c r="J11" s="4" t="s">
        <v>52</v>
      </c>
      <c r="K11" s="19">
        <v>680</v>
      </c>
      <c r="L11" s="4"/>
    </row>
    <row r="12" spans="1:12" ht="150" x14ac:dyDescent="0.25">
      <c r="A12" s="22">
        <v>7</v>
      </c>
      <c r="B12" s="142" t="s">
        <v>1074</v>
      </c>
      <c r="C12" s="143" t="s">
        <v>16</v>
      </c>
      <c r="D12" s="144">
        <v>354</v>
      </c>
      <c r="E12" s="145">
        <v>2850</v>
      </c>
      <c r="F12" s="143" t="s">
        <v>53</v>
      </c>
      <c r="G12" s="143" t="s">
        <v>1075</v>
      </c>
      <c r="H12" s="143" t="s">
        <v>1072</v>
      </c>
      <c r="I12" s="146" t="s">
        <v>1073</v>
      </c>
      <c r="J12" s="144"/>
      <c r="K12" s="147"/>
      <c r="L12" s="4"/>
    </row>
    <row r="13" spans="1:12" ht="60" x14ac:dyDescent="0.25">
      <c r="A13" s="22">
        <v>8</v>
      </c>
      <c r="B13" s="21" t="s">
        <v>469</v>
      </c>
      <c r="C13" s="19" t="s">
        <v>470</v>
      </c>
      <c r="D13" s="19">
        <v>300</v>
      </c>
      <c r="E13" s="20">
        <v>2280</v>
      </c>
      <c r="F13" s="4" t="s">
        <v>471</v>
      </c>
      <c r="G13" s="21" t="s">
        <v>472</v>
      </c>
      <c r="H13" s="15" t="s">
        <v>571</v>
      </c>
      <c r="I13" s="15" t="s">
        <v>473</v>
      </c>
      <c r="J13" s="4" t="s">
        <v>52</v>
      </c>
      <c r="K13" s="19">
        <v>600</v>
      </c>
      <c r="L13" s="4"/>
    </row>
    <row r="14" spans="1:12" ht="60" x14ac:dyDescent="0.25">
      <c r="A14" s="22">
        <v>9</v>
      </c>
      <c r="B14" s="21" t="s">
        <v>475</v>
      </c>
      <c r="C14" s="4" t="s">
        <v>474</v>
      </c>
      <c r="D14" s="4">
        <v>150</v>
      </c>
      <c r="E14" s="23">
        <f>D14*8.265</f>
        <v>1239.75</v>
      </c>
      <c r="F14" s="4" t="s">
        <v>465</v>
      </c>
      <c r="G14" s="21" t="s">
        <v>466</v>
      </c>
      <c r="H14" s="70" t="s">
        <v>571</v>
      </c>
      <c r="I14" s="70" t="s">
        <v>473</v>
      </c>
      <c r="J14" s="4" t="s">
        <v>52</v>
      </c>
      <c r="K14" s="24">
        <v>450</v>
      </c>
      <c r="L14" s="4"/>
    </row>
    <row r="15" spans="1:12" ht="60" x14ac:dyDescent="0.25">
      <c r="A15" s="22">
        <v>10</v>
      </c>
      <c r="B15" s="70" t="s">
        <v>682</v>
      </c>
      <c r="C15" s="24" t="s">
        <v>683</v>
      </c>
      <c r="D15" s="24">
        <v>300</v>
      </c>
      <c r="E15" s="24">
        <v>1000</v>
      </c>
      <c r="F15" s="24" t="s">
        <v>679</v>
      </c>
      <c r="G15" s="70" t="s">
        <v>680</v>
      </c>
      <c r="H15" s="70"/>
      <c r="I15" s="70" t="s">
        <v>681</v>
      </c>
      <c r="J15" s="24" t="s">
        <v>684</v>
      </c>
      <c r="K15" s="24">
        <v>300</v>
      </c>
      <c r="L15" s="14"/>
    </row>
    <row r="16" spans="1:12" ht="45" x14ac:dyDescent="0.25">
      <c r="A16" s="22">
        <v>11</v>
      </c>
      <c r="B16" s="8" t="s">
        <v>777</v>
      </c>
      <c r="C16" s="14" t="s">
        <v>774</v>
      </c>
      <c r="D16" s="9" t="s">
        <v>778</v>
      </c>
      <c r="E16" s="14">
        <v>1000</v>
      </c>
      <c r="F16" s="14" t="s">
        <v>779</v>
      </c>
      <c r="G16" s="28" t="s">
        <v>775</v>
      </c>
      <c r="H16" s="8" t="s">
        <v>778</v>
      </c>
      <c r="I16" s="28" t="s">
        <v>780</v>
      </c>
      <c r="J16" s="14" t="s">
        <v>776</v>
      </c>
      <c r="K16" s="14" t="s">
        <v>781</v>
      </c>
      <c r="L16" s="14"/>
    </row>
    <row r="17" spans="1:12" ht="225" x14ac:dyDescent="0.25">
      <c r="A17" s="22">
        <v>12</v>
      </c>
      <c r="B17" s="28" t="s">
        <v>889</v>
      </c>
      <c r="C17" s="14" t="s">
        <v>890</v>
      </c>
      <c r="D17" s="4">
        <v>70</v>
      </c>
      <c r="E17" s="23">
        <v>2000</v>
      </c>
      <c r="F17" s="14" t="s">
        <v>891</v>
      </c>
      <c r="G17" s="28" t="s">
        <v>892</v>
      </c>
      <c r="H17" s="28" t="s">
        <v>893</v>
      </c>
      <c r="I17" s="28" t="s">
        <v>894</v>
      </c>
      <c r="J17" s="14" t="s">
        <v>895</v>
      </c>
      <c r="K17" s="14" t="s">
        <v>1057</v>
      </c>
      <c r="L17" s="14"/>
    </row>
    <row r="18" spans="1:12" ht="120" x14ac:dyDescent="0.25">
      <c r="A18" s="22">
        <v>13</v>
      </c>
      <c r="B18" s="28" t="s">
        <v>896</v>
      </c>
      <c r="C18" s="14" t="s">
        <v>474</v>
      </c>
      <c r="D18" s="4">
        <v>150</v>
      </c>
      <c r="E18" s="23">
        <v>1500</v>
      </c>
      <c r="F18" s="14" t="s">
        <v>897</v>
      </c>
      <c r="G18" s="28" t="s">
        <v>898</v>
      </c>
      <c r="H18" s="28" t="s">
        <v>899</v>
      </c>
      <c r="I18" s="28" t="s">
        <v>900</v>
      </c>
      <c r="J18" s="14" t="s">
        <v>901</v>
      </c>
      <c r="K18" s="4">
        <v>300</v>
      </c>
      <c r="L18" s="14" t="s">
        <v>633</v>
      </c>
    </row>
    <row r="19" spans="1:12" ht="75" x14ac:dyDescent="0.25">
      <c r="A19" s="22">
        <v>14</v>
      </c>
      <c r="B19" s="28" t="s">
        <v>878</v>
      </c>
      <c r="C19" s="14" t="s">
        <v>879</v>
      </c>
      <c r="D19" s="4">
        <v>50</v>
      </c>
      <c r="E19" s="23">
        <v>550</v>
      </c>
      <c r="F19" s="14" t="s">
        <v>880</v>
      </c>
      <c r="G19" s="28" t="s">
        <v>881</v>
      </c>
      <c r="H19" s="28" t="s">
        <v>882</v>
      </c>
      <c r="I19" s="28" t="s">
        <v>883</v>
      </c>
      <c r="J19" s="14" t="s">
        <v>884</v>
      </c>
      <c r="K19" s="14"/>
      <c r="L19" s="14"/>
    </row>
    <row r="20" spans="1:12" ht="180" x14ac:dyDescent="0.25">
      <c r="A20" s="22">
        <v>15</v>
      </c>
      <c r="B20" s="8" t="s">
        <v>346</v>
      </c>
      <c r="C20" s="9" t="s">
        <v>125</v>
      </c>
      <c r="D20" s="9">
        <v>56</v>
      </c>
      <c r="E20" s="20">
        <v>530</v>
      </c>
      <c r="F20" s="9" t="s">
        <v>126</v>
      </c>
      <c r="G20" s="8" t="s">
        <v>126</v>
      </c>
      <c r="H20" s="8" t="s">
        <v>127</v>
      </c>
      <c r="I20" s="8" t="s">
        <v>128</v>
      </c>
      <c r="J20" s="9" t="s">
        <v>129</v>
      </c>
      <c r="K20" s="9"/>
      <c r="L20" s="4"/>
    </row>
    <row r="21" spans="1:12" ht="60" x14ac:dyDescent="0.25">
      <c r="A21" s="22">
        <v>16</v>
      </c>
      <c r="B21" s="70" t="s">
        <v>677</v>
      </c>
      <c r="C21" s="24" t="s">
        <v>678</v>
      </c>
      <c r="D21" s="24">
        <v>75</v>
      </c>
      <c r="E21" s="24">
        <v>500</v>
      </c>
      <c r="F21" s="24" t="s">
        <v>679</v>
      </c>
      <c r="G21" s="70" t="s">
        <v>680</v>
      </c>
      <c r="H21" s="70"/>
      <c r="I21" s="70" t="s">
        <v>681</v>
      </c>
      <c r="J21" s="24" t="s">
        <v>676</v>
      </c>
      <c r="K21" s="24">
        <v>150</v>
      </c>
      <c r="L21" s="14"/>
    </row>
    <row r="22" spans="1:12" ht="225" x14ac:dyDescent="0.25">
      <c r="A22" s="22">
        <v>17</v>
      </c>
      <c r="B22" s="59" t="s">
        <v>349</v>
      </c>
      <c r="C22" s="27" t="s">
        <v>123</v>
      </c>
      <c r="D22" s="27">
        <v>75</v>
      </c>
      <c r="E22" s="26">
        <v>500</v>
      </c>
      <c r="F22" s="27" t="s">
        <v>656</v>
      </c>
      <c r="G22" s="59" t="s">
        <v>657</v>
      </c>
      <c r="H22" s="59" t="s">
        <v>124</v>
      </c>
      <c r="I22" s="59" t="s">
        <v>319</v>
      </c>
      <c r="J22" s="27" t="s">
        <v>658</v>
      </c>
      <c r="K22" s="27">
        <v>300</v>
      </c>
      <c r="L22" s="32" t="s">
        <v>659</v>
      </c>
    </row>
    <row r="23" spans="1:12" ht="240" x14ac:dyDescent="0.25">
      <c r="A23" s="22">
        <v>18</v>
      </c>
      <c r="B23" s="21" t="s">
        <v>347</v>
      </c>
      <c r="C23" s="4" t="s">
        <v>20</v>
      </c>
      <c r="D23" s="4">
        <v>59</v>
      </c>
      <c r="E23" s="20">
        <v>490</v>
      </c>
      <c r="F23" s="4" t="s">
        <v>53</v>
      </c>
      <c r="G23" s="21" t="s">
        <v>96</v>
      </c>
      <c r="H23" s="21" t="s">
        <v>95</v>
      </c>
      <c r="I23" s="11" t="s">
        <v>94</v>
      </c>
      <c r="J23" s="4"/>
      <c r="K23" s="3"/>
      <c r="L23" s="4"/>
    </row>
    <row r="24" spans="1:12" ht="360" x14ac:dyDescent="0.25">
      <c r="A24" s="22">
        <v>19</v>
      </c>
      <c r="B24" s="111" t="s">
        <v>629</v>
      </c>
      <c r="C24" s="25" t="s">
        <v>480</v>
      </c>
      <c r="D24" s="25" t="s">
        <v>481</v>
      </c>
      <c r="E24" s="26">
        <v>490</v>
      </c>
      <c r="F24" s="27" t="s">
        <v>392</v>
      </c>
      <c r="G24" s="111" t="s">
        <v>635</v>
      </c>
      <c r="H24" s="111" t="s">
        <v>482</v>
      </c>
      <c r="I24" s="111" t="s">
        <v>483</v>
      </c>
      <c r="J24" s="25" t="s">
        <v>636</v>
      </c>
      <c r="K24" s="25">
        <v>350</v>
      </c>
      <c r="L24" s="32" t="s">
        <v>634</v>
      </c>
    </row>
    <row r="25" spans="1:12" ht="165" x14ac:dyDescent="0.25">
      <c r="A25" s="22">
        <v>20</v>
      </c>
      <c r="B25" s="8" t="s">
        <v>348</v>
      </c>
      <c r="C25" s="9" t="s">
        <v>550</v>
      </c>
      <c r="D25" s="9">
        <v>75</v>
      </c>
      <c r="E25" s="20">
        <v>490</v>
      </c>
      <c r="F25" s="9" t="s">
        <v>118</v>
      </c>
      <c r="G25" s="8" t="s">
        <v>119</v>
      </c>
      <c r="H25" s="8" t="s">
        <v>120</v>
      </c>
      <c r="I25" s="8" t="s">
        <v>320</v>
      </c>
      <c r="J25" s="9" t="s">
        <v>121</v>
      </c>
      <c r="K25" s="9" t="s">
        <v>122</v>
      </c>
      <c r="L25" s="4"/>
    </row>
    <row r="26" spans="1:12" ht="105" x14ac:dyDescent="0.25">
      <c r="A26" s="22">
        <v>21</v>
      </c>
      <c r="B26" s="59" t="s">
        <v>497</v>
      </c>
      <c r="C26" s="27" t="s">
        <v>496</v>
      </c>
      <c r="D26" s="27">
        <v>75</v>
      </c>
      <c r="E26" s="26">
        <v>450</v>
      </c>
      <c r="F26" s="27" t="s">
        <v>498</v>
      </c>
      <c r="G26" s="59" t="s">
        <v>648</v>
      </c>
      <c r="H26" s="59" t="s">
        <v>95</v>
      </c>
      <c r="I26" s="59" t="s">
        <v>500</v>
      </c>
      <c r="J26" s="27" t="s">
        <v>501</v>
      </c>
      <c r="K26" s="27">
        <v>75</v>
      </c>
      <c r="L26" s="32" t="s">
        <v>633</v>
      </c>
    </row>
    <row r="27" spans="1:12" ht="105" x14ac:dyDescent="0.25">
      <c r="A27" s="22">
        <v>22</v>
      </c>
      <c r="B27" s="28" t="s">
        <v>542</v>
      </c>
      <c r="C27" s="14" t="s">
        <v>548</v>
      </c>
      <c r="D27" s="9">
        <v>75</v>
      </c>
      <c r="E27" s="23">
        <v>400</v>
      </c>
      <c r="F27" s="14" t="s">
        <v>543</v>
      </c>
      <c r="G27" s="28" t="s">
        <v>544</v>
      </c>
      <c r="H27" s="28" t="s">
        <v>545</v>
      </c>
      <c r="I27" s="28" t="s">
        <v>546</v>
      </c>
      <c r="J27" s="14" t="s">
        <v>239</v>
      </c>
      <c r="K27" s="9" t="s">
        <v>547</v>
      </c>
      <c r="L27" s="4"/>
    </row>
    <row r="28" spans="1:12" ht="90" x14ac:dyDescent="0.25">
      <c r="A28" s="22">
        <v>23</v>
      </c>
      <c r="B28" s="8" t="s">
        <v>350</v>
      </c>
      <c r="C28" s="9" t="s">
        <v>551</v>
      </c>
      <c r="D28" s="9">
        <v>75</v>
      </c>
      <c r="E28" s="20">
        <v>350</v>
      </c>
      <c r="F28" s="9" t="s">
        <v>163</v>
      </c>
      <c r="G28" s="8" t="s">
        <v>115</v>
      </c>
      <c r="H28" s="8" t="s">
        <v>116</v>
      </c>
      <c r="I28" s="8" t="s">
        <v>292</v>
      </c>
      <c r="J28" s="9" t="s">
        <v>117</v>
      </c>
      <c r="K28" s="9">
        <v>100</v>
      </c>
      <c r="L28" s="4"/>
    </row>
    <row r="29" spans="1:12" ht="150" x14ac:dyDescent="0.25">
      <c r="A29" s="22">
        <v>24</v>
      </c>
      <c r="B29" s="112" t="s">
        <v>868</v>
      </c>
      <c r="C29" s="66" t="s">
        <v>869</v>
      </c>
      <c r="D29" s="67">
        <v>50</v>
      </c>
      <c r="E29" s="67">
        <v>300</v>
      </c>
      <c r="F29" s="67" t="s">
        <v>870</v>
      </c>
      <c r="G29" s="113" t="s">
        <v>871</v>
      </c>
      <c r="H29" s="112" t="s">
        <v>872</v>
      </c>
      <c r="I29" s="113" t="s">
        <v>873</v>
      </c>
      <c r="J29" s="67" t="s">
        <v>874</v>
      </c>
      <c r="K29" s="67"/>
      <c r="L29" s="4"/>
    </row>
    <row r="30" spans="1:12" ht="60" x14ac:dyDescent="0.25">
      <c r="A30" s="22">
        <v>25</v>
      </c>
      <c r="B30" s="21" t="s">
        <v>876</v>
      </c>
      <c r="C30" s="4" t="s">
        <v>182</v>
      </c>
      <c r="D30" s="4">
        <v>20</v>
      </c>
      <c r="E30" s="23">
        <v>300</v>
      </c>
      <c r="F30" s="4" t="s">
        <v>53</v>
      </c>
      <c r="G30" s="21" t="s">
        <v>466</v>
      </c>
      <c r="H30" s="21" t="s">
        <v>573</v>
      </c>
      <c r="I30" s="11" t="s">
        <v>877</v>
      </c>
      <c r="J30" s="4" t="s">
        <v>52</v>
      </c>
      <c r="K30" s="3"/>
      <c r="L30" s="4"/>
    </row>
    <row r="31" spans="1:12" ht="90" x14ac:dyDescent="0.25">
      <c r="A31" s="22">
        <v>26</v>
      </c>
      <c r="B31" s="28" t="s">
        <v>752</v>
      </c>
      <c r="C31" s="14" t="s">
        <v>917</v>
      </c>
      <c r="D31" s="14">
        <v>75</v>
      </c>
      <c r="E31" s="14">
        <v>100</v>
      </c>
      <c r="F31" s="14" t="s">
        <v>754</v>
      </c>
      <c r="G31" s="28" t="s">
        <v>755</v>
      </c>
      <c r="H31" s="28" t="s">
        <v>756</v>
      </c>
      <c r="I31" s="28" t="s">
        <v>757</v>
      </c>
      <c r="J31" s="14" t="s">
        <v>758</v>
      </c>
      <c r="K31" s="132">
        <v>49.8</v>
      </c>
      <c r="L31" s="4"/>
    </row>
    <row r="32" spans="1:12" ht="45" x14ac:dyDescent="0.25">
      <c r="A32" s="22">
        <v>27</v>
      </c>
      <c r="B32" s="28" t="s">
        <v>572</v>
      </c>
      <c r="C32" s="14" t="s">
        <v>577</v>
      </c>
      <c r="D32" s="14">
        <v>25</v>
      </c>
      <c r="E32" s="47">
        <v>70</v>
      </c>
      <c r="F32" s="14" t="s">
        <v>520</v>
      </c>
      <c r="G32" s="28" t="s">
        <v>521</v>
      </c>
      <c r="H32" s="28"/>
      <c r="I32" s="28" t="s">
        <v>522</v>
      </c>
      <c r="J32" s="14" t="s">
        <v>22</v>
      </c>
      <c r="K32" s="14">
        <v>20</v>
      </c>
      <c r="L32" s="4"/>
    </row>
    <row r="33" spans="1:14" ht="45" x14ac:dyDescent="0.25">
      <c r="A33" s="22">
        <v>28</v>
      </c>
      <c r="B33" s="28" t="s">
        <v>735</v>
      </c>
      <c r="C33" s="14" t="s">
        <v>736</v>
      </c>
      <c r="D33" s="14">
        <v>25</v>
      </c>
      <c r="E33" s="14">
        <v>70</v>
      </c>
      <c r="F33" s="14" t="s">
        <v>520</v>
      </c>
      <c r="G33" s="28" t="s">
        <v>521</v>
      </c>
      <c r="H33" s="28"/>
      <c r="I33" s="28" t="s">
        <v>522</v>
      </c>
      <c r="J33" s="14" t="s">
        <v>22</v>
      </c>
      <c r="K33" s="14">
        <v>20</v>
      </c>
      <c r="L33" s="4"/>
    </row>
    <row r="34" spans="1:14" x14ac:dyDescent="0.25">
      <c r="A34" s="115" t="s">
        <v>93</v>
      </c>
      <c r="B34" s="174" t="s">
        <v>1124</v>
      </c>
      <c r="C34" s="174"/>
      <c r="D34" s="174"/>
      <c r="E34" s="174"/>
      <c r="F34" s="174"/>
      <c r="G34" s="174"/>
      <c r="H34" s="174"/>
      <c r="I34" s="174"/>
      <c r="J34" s="174"/>
      <c r="K34" s="174"/>
      <c r="L34" s="174"/>
    </row>
    <row r="35" spans="1:14" ht="150" x14ac:dyDescent="0.25">
      <c r="A35" s="4">
        <v>29</v>
      </c>
      <c r="B35" s="137" t="s">
        <v>589</v>
      </c>
      <c r="C35" s="138" t="s">
        <v>48</v>
      </c>
      <c r="D35" s="138">
        <v>70</v>
      </c>
      <c r="E35" s="139">
        <v>500</v>
      </c>
      <c r="F35" s="138" t="s">
        <v>53</v>
      </c>
      <c r="G35" s="138" t="s">
        <v>80</v>
      </c>
      <c r="H35" s="138" t="s">
        <v>92</v>
      </c>
      <c r="I35" s="140" t="s">
        <v>1112</v>
      </c>
      <c r="J35" s="138" t="s">
        <v>52</v>
      </c>
      <c r="K35" s="141"/>
      <c r="L35" s="4"/>
    </row>
    <row r="36" spans="1:14" ht="120" x14ac:dyDescent="0.25">
      <c r="A36" s="4">
        <v>30</v>
      </c>
      <c r="B36" s="21" t="s">
        <v>555</v>
      </c>
      <c r="C36" s="7" t="s">
        <v>63</v>
      </c>
      <c r="D36" s="41">
        <v>222</v>
      </c>
      <c r="E36" s="20">
        <v>500</v>
      </c>
      <c r="F36" s="4" t="s">
        <v>62</v>
      </c>
      <c r="G36" s="21" t="s">
        <v>11</v>
      </c>
      <c r="H36" s="114" t="s">
        <v>61</v>
      </c>
      <c r="I36" s="21" t="s">
        <v>295</v>
      </c>
      <c r="J36" s="4" t="s">
        <v>0</v>
      </c>
      <c r="K36" s="4"/>
      <c r="L36" s="4"/>
    </row>
    <row r="37" spans="1:14" ht="60" x14ac:dyDescent="0.25">
      <c r="A37" s="4">
        <v>31</v>
      </c>
      <c r="B37" s="8" t="s">
        <v>688</v>
      </c>
      <c r="C37" s="24" t="s">
        <v>689</v>
      </c>
      <c r="D37" s="9">
        <v>80</v>
      </c>
      <c r="E37" s="9">
        <v>400</v>
      </c>
      <c r="F37" s="44" t="s">
        <v>690</v>
      </c>
      <c r="G37" s="70" t="s">
        <v>691</v>
      </c>
      <c r="H37" s="8"/>
      <c r="I37" s="63" t="s">
        <v>607</v>
      </c>
      <c r="J37" s="64" t="s">
        <v>398</v>
      </c>
      <c r="K37" s="9">
        <v>90</v>
      </c>
      <c r="L37" s="14"/>
    </row>
    <row r="38" spans="1:14" ht="75" x14ac:dyDescent="0.25">
      <c r="A38" s="4">
        <v>32</v>
      </c>
      <c r="B38" s="133" t="s">
        <v>695</v>
      </c>
      <c r="C38" s="65" t="s">
        <v>696</v>
      </c>
      <c r="D38" s="65">
        <v>50</v>
      </c>
      <c r="E38" s="65">
        <v>100</v>
      </c>
      <c r="F38" s="65" t="s">
        <v>405</v>
      </c>
      <c r="G38" s="127" t="s">
        <v>697</v>
      </c>
      <c r="H38" s="127" t="s">
        <v>698</v>
      </c>
      <c r="I38" s="8" t="s">
        <v>403</v>
      </c>
      <c r="J38" s="65" t="s">
        <v>398</v>
      </c>
      <c r="K38" s="65">
        <v>50</v>
      </c>
      <c r="L38" s="14"/>
    </row>
    <row r="39" spans="1:14" ht="15" customHeight="1" x14ac:dyDescent="0.25">
      <c r="A39" s="6" t="s">
        <v>351</v>
      </c>
      <c r="B39" s="173" t="s">
        <v>918</v>
      </c>
      <c r="C39" s="173"/>
      <c r="D39" s="173"/>
      <c r="E39" s="173"/>
      <c r="F39" s="173"/>
      <c r="G39" s="173"/>
      <c r="H39" s="173"/>
      <c r="I39" s="173"/>
      <c r="J39" s="173"/>
      <c r="K39" s="173"/>
      <c r="L39" s="116"/>
    </row>
    <row r="40" spans="1:14" ht="270" x14ac:dyDescent="0.25">
      <c r="A40" s="32">
        <v>33</v>
      </c>
      <c r="B40" s="34" t="s">
        <v>568</v>
      </c>
      <c r="C40" s="32" t="s">
        <v>627</v>
      </c>
      <c r="D40" s="32" t="s">
        <v>559</v>
      </c>
      <c r="E40" s="26">
        <v>30980</v>
      </c>
      <c r="F40" s="32" t="s">
        <v>561</v>
      </c>
      <c r="G40" s="34" t="s">
        <v>561</v>
      </c>
      <c r="H40" s="34" t="s">
        <v>628</v>
      </c>
      <c r="I40" s="40" t="s">
        <v>1058</v>
      </c>
      <c r="J40" s="32" t="s">
        <v>560</v>
      </c>
      <c r="K40" s="32"/>
      <c r="L40" s="32" t="s">
        <v>1063</v>
      </c>
      <c r="N40" s="104">
        <f>30980+500+100</f>
        <v>31580</v>
      </c>
    </row>
    <row r="41" spans="1:14" ht="120" x14ac:dyDescent="0.25">
      <c r="A41" s="4">
        <v>34</v>
      </c>
      <c r="B41" s="8" t="s">
        <v>808</v>
      </c>
      <c r="C41" s="9" t="s">
        <v>809</v>
      </c>
      <c r="D41" s="9">
        <v>46</v>
      </c>
      <c r="E41" s="14">
        <v>500</v>
      </c>
      <c r="F41" s="9" t="s">
        <v>810</v>
      </c>
      <c r="G41" s="8" t="s">
        <v>811</v>
      </c>
      <c r="H41" s="8" t="s">
        <v>812</v>
      </c>
      <c r="I41" s="8" t="s">
        <v>813</v>
      </c>
      <c r="J41" s="9" t="s">
        <v>541</v>
      </c>
      <c r="K41" s="9">
        <v>50</v>
      </c>
      <c r="L41" s="14"/>
    </row>
    <row r="42" spans="1:14" ht="45" x14ac:dyDescent="0.25">
      <c r="A42" s="4">
        <v>35</v>
      </c>
      <c r="B42" s="8" t="s">
        <v>782</v>
      </c>
      <c r="C42" s="14" t="s">
        <v>774</v>
      </c>
      <c r="D42" s="9" t="s">
        <v>783</v>
      </c>
      <c r="E42" s="14">
        <v>100</v>
      </c>
      <c r="F42" s="14" t="s">
        <v>779</v>
      </c>
      <c r="G42" s="28" t="s">
        <v>784</v>
      </c>
      <c r="H42" s="8" t="s">
        <v>783</v>
      </c>
      <c r="I42" s="28" t="s">
        <v>780</v>
      </c>
      <c r="J42" s="14" t="s">
        <v>776</v>
      </c>
      <c r="K42" s="14" t="s">
        <v>785</v>
      </c>
      <c r="L42" s="14"/>
    </row>
  </sheetData>
  <autoFilter ref="A4:N42" xr:uid="{00000000-0009-0000-0000-000002000000}"/>
  <mergeCells count="4">
    <mergeCell ref="A2:L2"/>
    <mergeCell ref="B39:K39"/>
    <mergeCell ref="B34:L34"/>
    <mergeCell ref="B5:L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M56"/>
  <sheetViews>
    <sheetView zoomScale="90" zoomScaleNormal="90" workbookViewId="0">
      <pane xSplit="1" ySplit="4" topLeftCell="B5" activePane="bottomRight" state="frozen"/>
      <selection pane="topRight" activeCell="B1" sqref="B1"/>
      <selection pane="bottomLeft" activeCell="A4" sqref="A4"/>
      <selection pane="bottomRight" activeCell="F55" sqref="F55"/>
    </sheetView>
  </sheetViews>
  <sheetFormatPr defaultColWidth="11" defaultRowHeight="15" x14ac:dyDescent="0.25"/>
  <cols>
    <col min="1" max="1" width="5.7109375" style="18" customWidth="1"/>
    <col min="2" max="2" width="20.85546875" style="117" customWidth="1"/>
    <col min="3" max="3" width="14.140625" style="18" customWidth="1"/>
    <col min="4" max="4" width="9.7109375" style="18" customWidth="1"/>
    <col min="5" max="5" width="10.7109375" style="72" customWidth="1"/>
    <col min="6" max="6" width="16.7109375" style="117" customWidth="1"/>
    <col min="7" max="7" width="23" style="117" customWidth="1"/>
    <col min="8" max="8" width="34.85546875" style="117" customWidth="1"/>
    <col min="9" max="9" width="43.5703125" style="117" customWidth="1"/>
    <col min="10" max="12" width="16.5703125" style="18" customWidth="1"/>
    <col min="13" max="13" width="15.28515625" style="117" customWidth="1"/>
    <col min="14" max="16384" width="11" style="117"/>
  </cols>
  <sheetData>
    <row r="1" spans="1:12" s="18" customFormat="1" x14ac:dyDescent="0.25">
      <c r="E1" s="72"/>
    </row>
    <row r="2" spans="1:12" s="18" customFormat="1" ht="41.25" customHeight="1" x14ac:dyDescent="0.25">
      <c r="A2" s="175" t="s">
        <v>1127</v>
      </c>
      <c r="B2" s="175"/>
      <c r="C2" s="175"/>
      <c r="D2" s="175"/>
      <c r="E2" s="175"/>
      <c r="F2" s="175"/>
      <c r="G2" s="175"/>
      <c r="H2" s="175"/>
      <c r="I2" s="175"/>
      <c r="J2" s="175"/>
      <c r="K2" s="175"/>
      <c r="L2" s="175"/>
    </row>
    <row r="3" spans="1:12" s="18" customFormat="1" x14ac:dyDescent="0.25">
      <c r="E3" s="72"/>
    </row>
    <row r="4" spans="1:12" s="18" customFormat="1" ht="75" customHeight="1" x14ac:dyDescent="0.25">
      <c r="A4" s="1" t="s">
        <v>114</v>
      </c>
      <c r="B4" s="1" t="s">
        <v>113</v>
      </c>
      <c r="C4" s="1" t="s">
        <v>112</v>
      </c>
      <c r="D4" s="1" t="s">
        <v>111</v>
      </c>
      <c r="E4" s="2" t="s">
        <v>110</v>
      </c>
      <c r="F4" s="1" t="s">
        <v>109</v>
      </c>
      <c r="G4" s="1" t="s">
        <v>108</v>
      </c>
      <c r="H4" s="1" t="s">
        <v>107</v>
      </c>
      <c r="I4" s="1" t="s">
        <v>106</v>
      </c>
      <c r="J4" s="1" t="s">
        <v>105</v>
      </c>
      <c r="K4" s="1" t="s">
        <v>1054</v>
      </c>
      <c r="L4" s="10" t="s">
        <v>632</v>
      </c>
    </row>
    <row r="5" spans="1:12" s="18" customFormat="1" x14ac:dyDescent="0.25">
      <c r="A5" s="3">
        <v>1</v>
      </c>
      <c r="B5" s="3">
        <v>2</v>
      </c>
      <c r="C5" s="3">
        <v>3</v>
      </c>
      <c r="D5" s="4">
        <v>4</v>
      </c>
      <c r="E5" s="5">
        <v>5</v>
      </c>
      <c r="F5" s="3">
        <v>6</v>
      </c>
      <c r="G5" s="3">
        <v>7</v>
      </c>
      <c r="H5" s="3">
        <v>8</v>
      </c>
      <c r="I5" s="3">
        <v>9</v>
      </c>
      <c r="J5" s="4">
        <v>10</v>
      </c>
      <c r="K5" s="3">
        <v>11</v>
      </c>
      <c r="L5" s="4"/>
    </row>
    <row r="6" spans="1:12" x14ac:dyDescent="0.25">
      <c r="A6" s="6" t="s">
        <v>104</v>
      </c>
      <c r="B6" s="160" t="s">
        <v>915</v>
      </c>
      <c r="C6" s="160"/>
      <c r="D6" s="160"/>
      <c r="E6" s="160"/>
      <c r="F6" s="160"/>
      <c r="G6" s="160"/>
      <c r="H6" s="160"/>
      <c r="I6" s="160"/>
      <c r="J6" s="160"/>
      <c r="K6" s="160"/>
      <c r="L6" s="116"/>
    </row>
    <row r="7" spans="1:12" ht="60" x14ac:dyDescent="0.25">
      <c r="A7" s="4">
        <v>1</v>
      </c>
      <c r="B7" s="28" t="s">
        <v>358</v>
      </c>
      <c r="C7" s="14" t="s">
        <v>359</v>
      </c>
      <c r="D7" s="53">
        <v>390</v>
      </c>
      <c r="E7" s="35">
        <v>85000</v>
      </c>
      <c r="F7" s="118" t="s">
        <v>360</v>
      </c>
      <c r="G7" s="119" t="s">
        <v>2</v>
      </c>
      <c r="H7" s="120" t="s">
        <v>361</v>
      </c>
      <c r="I7" s="121" t="s">
        <v>440</v>
      </c>
      <c r="J7" s="14" t="s">
        <v>362</v>
      </c>
      <c r="K7" s="14">
        <v>390</v>
      </c>
      <c r="L7" s="4"/>
    </row>
    <row r="8" spans="1:12" ht="60" x14ac:dyDescent="0.25">
      <c r="A8" s="4">
        <v>2</v>
      </c>
      <c r="B8" s="8" t="s">
        <v>459</v>
      </c>
      <c r="C8" s="19" t="s">
        <v>454</v>
      </c>
      <c r="D8" s="9">
        <v>154</v>
      </c>
      <c r="E8" s="23">
        <v>1850</v>
      </c>
      <c r="F8" s="8" t="s">
        <v>460</v>
      </c>
      <c r="G8" s="8" t="s">
        <v>461</v>
      </c>
      <c r="H8" s="8" t="s">
        <v>462</v>
      </c>
      <c r="I8" s="8" t="s">
        <v>458</v>
      </c>
      <c r="J8" s="9" t="s">
        <v>398</v>
      </c>
      <c r="K8" s="9">
        <v>300</v>
      </c>
      <c r="L8" s="4"/>
    </row>
    <row r="9" spans="1:12" ht="75" x14ac:dyDescent="0.25">
      <c r="A9" s="32">
        <v>3</v>
      </c>
      <c r="B9" s="59" t="s">
        <v>221</v>
      </c>
      <c r="C9" s="25" t="s">
        <v>220</v>
      </c>
      <c r="D9" s="16">
        <v>1000</v>
      </c>
      <c r="E9" s="26">
        <v>1000</v>
      </c>
      <c r="F9" s="54"/>
      <c r="G9" s="54" t="s">
        <v>272</v>
      </c>
      <c r="H9" s="59" t="s">
        <v>283</v>
      </c>
      <c r="I9" s="54" t="s">
        <v>321</v>
      </c>
      <c r="J9" s="16"/>
      <c r="K9" s="16">
        <v>50</v>
      </c>
      <c r="L9" s="32"/>
    </row>
    <row r="10" spans="1:12" ht="135" x14ac:dyDescent="0.25">
      <c r="A10" s="32">
        <v>4</v>
      </c>
      <c r="B10" s="111" t="s">
        <v>363</v>
      </c>
      <c r="C10" s="25" t="s">
        <v>443</v>
      </c>
      <c r="D10" s="25">
        <v>136</v>
      </c>
      <c r="E10" s="26">
        <v>850</v>
      </c>
      <c r="F10" s="111" t="s">
        <v>371</v>
      </c>
      <c r="G10" s="111" t="s">
        <v>372</v>
      </c>
      <c r="H10" s="111" t="s">
        <v>373</v>
      </c>
      <c r="I10" s="111" t="s">
        <v>445</v>
      </c>
      <c r="J10" s="25" t="s">
        <v>653</v>
      </c>
      <c r="K10" s="17"/>
      <c r="L10" s="32" t="s">
        <v>654</v>
      </c>
    </row>
    <row r="11" spans="1:12" ht="75" x14ac:dyDescent="0.25">
      <c r="A11" s="4">
        <v>5</v>
      </c>
      <c r="B11" s="28" t="s">
        <v>685</v>
      </c>
      <c r="C11" s="24" t="s">
        <v>683</v>
      </c>
      <c r="D11" s="24">
        <v>80</v>
      </c>
      <c r="E11" s="24">
        <v>850</v>
      </c>
      <c r="F11" s="70" t="s">
        <v>686</v>
      </c>
      <c r="G11" s="63" t="s">
        <v>395</v>
      </c>
      <c r="H11" s="70"/>
      <c r="I11" s="63" t="s">
        <v>607</v>
      </c>
      <c r="J11" s="64" t="s">
        <v>687</v>
      </c>
      <c r="K11" s="24">
        <v>350</v>
      </c>
      <c r="L11" s="4"/>
    </row>
    <row r="12" spans="1:12" ht="150" x14ac:dyDescent="0.25">
      <c r="A12" s="4">
        <v>6</v>
      </c>
      <c r="B12" s="28" t="s">
        <v>851</v>
      </c>
      <c r="C12" s="14" t="s">
        <v>852</v>
      </c>
      <c r="D12" s="14" t="s">
        <v>853</v>
      </c>
      <c r="E12" s="14" t="s">
        <v>854</v>
      </c>
      <c r="F12" s="28" t="s">
        <v>855</v>
      </c>
      <c r="G12" s="28" t="s">
        <v>856</v>
      </c>
      <c r="H12" s="28" t="s">
        <v>857</v>
      </c>
      <c r="I12" s="28" t="s">
        <v>858</v>
      </c>
      <c r="J12" s="14" t="s">
        <v>859</v>
      </c>
      <c r="K12" s="14" t="s">
        <v>860</v>
      </c>
      <c r="L12" s="4"/>
    </row>
    <row r="13" spans="1:12" ht="105" x14ac:dyDescent="0.25">
      <c r="A13" s="4">
        <v>7</v>
      </c>
      <c r="B13" s="8" t="s">
        <v>502</v>
      </c>
      <c r="C13" s="9" t="s">
        <v>496</v>
      </c>
      <c r="D13" s="9">
        <v>203.4</v>
      </c>
      <c r="E13" s="23">
        <v>650</v>
      </c>
      <c r="F13" s="8" t="s">
        <v>498</v>
      </c>
      <c r="G13" s="8" t="s">
        <v>499</v>
      </c>
      <c r="H13" s="8" t="s">
        <v>503</v>
      </c>
      <c r="I13" s="8" t="s">
        <v>500</v>
      </c>
      <c r="J13" s="9" t="s">
        <v>501</v>
      </c>
      <c r="K13" s="9">
        <v>203</v>
      </c>
      <c r="L13" s="4"/>
    </row>
    <row r="14" spans="1:12" ht="75" x14ac:dyDescent="0.25">
      <c r="A14" s="4">
        <v>8</v>
      </c>
      <c r="B14" s="122" t="s">
        <v>380</v>
      </c>
      <c r="C14" s="37" t="s">
        <v>381</v>
      </c>
      <c r="D14" s="37">
        <v>417</v>
      </c>
      <c r="E14" s="38">
        <v>580</v>
      </c>
      <c r="F14" s="122" t="s">
        <v>376</v>
      </c>
      <c r="G14" s="122" t="s">
        <v>377</v>
      </c>
      <c r="H14" s="122" t="s">
        <v>382</v>
      </c>
      <c r="I14" s="122" t="s">
        <v>446</v>
      </c>
      <c r="J14" s="37" t="s">
        <v>379</v>
      </c>
      <c r="K14" s="14"/>
      <c r="L14" s="4"/>
    </row>
    <row r="15" spans="1:12" ht="75" x14ac:dyDescent="0.25">
      <c r="A15" s="4">
        <v>9</v>
      </c>
      <c r="B15" s="122" t="s">
        <v>383</v>
      </c>
      <c r="C15" s="19" t="s">
        <v>441</v>
      </c>
      <c r="D15" s="37">
        <v>917.2</v>
      </c>
      <c r="E15" s="38">
        <v>500</v>
      </c>
      <c r="F15" s="122" t="s">
        <v>376</v>
      </c>
      <c r="G15" s="122" t="s">
        <v>377</v>
      </c>
      <c r="H15" s="122" t="s">
        <v>382</v>
      </c>
      <c r="I15" s="122" t="s">
        <v>446</v>
      </c>
      <c r="J15" s="37" t="s">
        <v>379</v>
      </c>
      <c r="K15" s="14"/>
      <c r="L15" s="4"/>
    </row>
    <row r="16" spans="1:12" ht="75" x14ac:dyDescent="0.25">
      <c r="A16" s="4">
        <v>10</v>
      </c>
      <c r="B16" s="122" t="s">
        <v>374</v>
      </c>
      <c r="C16" s="19" t="s">
        <v>441</v>
      </c>
      <c r="D16" s="37" t="s">
        <v>375</v>
      </c>
      <c r="E16" s="38">
        <v>460</v>
      </c>
      <c r="F16" s="122" t="s">
        <v>376</v>
      </c>
      <c r="G16" s="122" t="s">
        <v>377</v>
      </c>
      <c r="H16" s="122" t="s">
        <v>378</v>
      </c>
      <c r="I16" s="122" t="s">
        <v>446</v>
      </c>
      <c r="J16" s="37" t="s">
        <v>379</v>
      </c>
      <c r="K16" s="14"/>
      <c r="L16" s="4"/>
    </row>
    <row r="17" spans="1:12" ht="150" x14ac:dyDescent="0.25">
      <c r="A17" s="32">
        <v>11</v>
      </c>
      <c r="B17" s="111" t="s">
        <v>363</v>
      </c>
      <c r="C17" s="25" t="s">
        <v>442</v>
      </c>
      <c r="D17" s="25">
        <v>399</v>
      </c>
      <c r="E17" s="26">
        <v>450</v>
      </c>
      <c r="F17" s="111" t="s">
        <v>655</v>
      </c>
      <c r="G17" s="111" t="s">
        <v>365</v>
      </c>
      <c r="H17" s="111" t="s">
        <v>366</v>
      </c>
      <c r="I17" s="111" t="s">
        <v>444</v>
      </c>
      <c r="J17" s="25" t="s">
        <v>367</v>
      </c>
      <c r="K17" s="17"/>
      <c r="L17" s="32" t="s">
        <v>654</v>
      </c>
    </row>
    <row r="18" spans="1:12" ht="75" x14ac:dyDescent="0.25">
      <c r="A18" s="4">
        <v>12</v>
      </c>
      <c r="B18" s="122" t="s">
        <v>384</v>
      </c>
      <c r="C18" s="19" t="s">
        <v>441</v>
      </c>
      <c r="D18" s="37">
        <v>641.67999999999995</v>
      </c>
      <c r="E18" s="38">
        <v>400</v>
      </c>
      <c r="F18" s="122" t="s">
        <v>376</v>
      </c>
      <c r="G18" s="122" t="s">
        <v>377</v>
      </c>
      <c r="H18" s="122" t="s">
        <v>385</v>
      </c>
      <c r="I18" s="122" t="s">
        <v>446</v>
      </c>
      <c r="J18" s="37" t="s">
        <v>379</v>
      </c>
      <c r="K18" s="14"/>
      <c r="L18" s="4"/>
    </row>
    <row r="19" spans="1:12" ht="75" x14ac:dyDescent="0.25">
      <c r="A19" s="4">
        <v>13</v>
      </c>
      <c r="B19" s="28" t="s">
        <v>708</v>
      </c>
      <c r="C19" s="14" t="s">
        <v>709</v>
      </c>
      <c r="D19" s="9">
        <v>38</v>
      </c>
      <c r="E19" s="9">
        <v>320</v>
      </c>
      <c r="F19" s="123" t="s">
        <v>376</v>
      </c>
      <c r="G19" s="123" t="s">
        <v>377</v>
      </c>
      <c r="H19" s="8" t="s">
        <v>710</v>
      </c>
      <c r="I19" s="122" t="s">
        <v>711</v>
      </c>
      <c r="J19" s="37" t="s">
        <v>712</v>
      </c>
      <c r="K19" s="9"/>
      <c r="L19" s="4"/>
    </row>
    <row r="20" spans="1:12" ht="90" x14ac:dyDescent="0.25">
      <c r="A20" s="32">
        <v>14</v>
      </c>
      <c r="B20" s="54" t="s">
        <v>274</v>
      </c>
      <c r="C20" s="16" t="s">
        <v>81</v>
      </c>
      <c r="D20" s="16">
        <v>80</v>
      </c>
      <c r="E20" s="26">
        <v>300</v>
      </c>
      <c r="F20" s="54" t="s">
        <v>83</v>
      </c>
      <c r="G20" s="54" t="s">
        <v>275</v>
      </c>
      <c r="H20" s="54" t="s">
        <v>276</v>
      </c>
      <c r="I20" s="54" t="s">
        <v>277</v>
      </c>
      <c r="J20" s="16" t="s">
        <v>82</v>
      </c>
      <c r="K20" s="16">
        <v>100</v>
      </c>
      <c r="L20" s="32"/>
    </row>
    <row r="21" spans="1:12" ht="60" x14ac:dyDescent="0.25">
      <c r="A21" s="32">
        <v>15</v>
      </c>
      <c r="B21" s="54" t="s">
        <v>278</v>
      </c>
      <c r="C21" s="16" t="s">
        <v>81</v>
      </c>
      <c r="D21" s="16">
        <v>700</v>
      </c>
      <c r="E21" s="26">
        <v>300</v>
      </c>
      <c r="F21" s="54" t="s">
        <v>217</v>
      </c>
      <c r="G21" s="54" t="s">
        <v>272</v>
      </c>
      <c r="H21" s="54" t="s">
        <v>273</v>
      </c>
      <c r="I21" s="54" t="s">
        <v>279</v>
      </c>
      <c r="J21" s="16"/>
      <c r="K21" s="16">
        <v>20</v>
      </c>
      <c r="L21" s="32"/>
    </row>
    <row r="22" spans="1:12" ht="195" x14ac:dyDescent="0.25">
      <c r="A22" s="4">
        <v>16</v>
      </c>
      <c r="B22" s="109" t="s">
        <v>599</v>
      </c>
      <c r="C22" s="43" t="s">
        <v>600</v>
      </c>
      <c r="D22" s="43">
        <v>32.840000000000003</v>
      </c>
      <c r="E22" s="20">
        <v>270</v>
      </c>
      <c r="F22" s="109" t="s">
        <v>601</v>
      </c>
      <c r="G22" s="109" t="s">
        <v>25</v>
      </c>
      <c r="H22" s="55" t="s">
        <v>645</v>
      </c>
      <c r="I22" s="28" t="s">
        <v>646</v>
      </c>
      <c r="J22" s="43" t="s">
        <v>602</v>
      </c>
      <c r="K22" s="43">
        <v>5</v>
      </c>
      <c r="L22" s="4"/>
    </row>
    <row r="23" spans="1:12" ht="150" x14ac:dyDescent="0.25">
      <c r="A23" s="4">
        <v>17</v>
      </c>
      <c r="B23" s="123" t="s">
        <v>703</v>
      </c>
      <c r="C23" s="94" t="s">
        <v>704</v>
      </c>
      <c r="D23" s="94">
        <v>36</v>
      </c>
      <c r="E23" s="94">
        <v>230</v>
      </c>
      <c r="F23" s="123" t="s">
        <v>376</v>
      </c>
      <c r="G23" s="123" t="s">
        <v>377</v>
      </c>
      <c r="H23" s="123" t="s">
        <v>705</v>
      </c>
      <c r="I23" s="122" t="s">
        <v>706</v>
      </c>
      <c r="J23" s="37" t="s">
        <v>707</v>
      </c>
      <c r="K23" s="4"/>
      <c r="L23" s="4"/>
    </row>
    <row r="24" spans="1:12" ht="165" x14ac:dyDescent="0.25">
      <c r="A24" s="32">
        <v>18</v>
      </c>
      <c r="B24" s="59" t="s">
        <v>219</v>
      </c>
      <c r="C24" s="56" t="s">
        <v>280</v>
      </c>
      <c r="D24" s="16">
        <v>150</v>
      </c>
      <c r="E24" s="16">
        <v>150</v>
      </c>
      <c r="F24" s="54" t="s">
        <v>630</v>
      </c>
      <c r="G24" s="124" t="s">
        <v>281</v>
      </c>
      <c r="H24" s="125" t="s">
        <v>282</v>
      </c>
      <c r="I24" s="54" t="s">
        <v>293</v>
      </c>
      <c r="J24" s="17" t="s">
        <v>631</v>
      </c>
      <c r="K24" s="16">
        <v>50</v>
      </c>
      <c r="L24" s="32"/>
    </row>
    <row r="25" spans="1:12" ht="90" x14ac:dyDescent="0.25">
      <c r="A25" s="4">
        <v>19</v>
      </c>
      <c r="B25" s="70" t="s">
        <v>363</v>
      </c>
      <c r="C25" s="24" t="s">
        <v>713</v>
      </c>
      <c r="D25" s="24">
        <v>150</v>
      </c>
      <c r="E25" s="24">
        <v>150</v>
      </c>
      <c r="F25" s="70" t="s">
        <v>714</v>
      </c>
      <c r="G25" s="70" t="s">
        <v>365</v>
      </c>
      <c r="H25" s="70" t="s">
        <v>715</v>
      </c>
      <c r="I25" s="70" t="s">
        <v>716</v>
      </c>
      <c r="J25" s="24" t="s">
        <v>717</v>
      </c>
      <c r="K25" s="24" t="s">
        <v>133</v>
      </c>
      <c r="L25" s="4"/>
    </row>
    <row r="26" spans="1:12" ht="75" x14ac:dyDescent="0.25">
      <c r="A26" s="4">
        <v>20</v>
      </c>
      <c r="B26" s="28" t="s">
        <v>885</v>
      </c>
      <c r="C26" s="14" t="s">
        <v>886</v>
      </c>
      <c r="D26" s="4">
        <v>255</v>
      </c>
      <c r="E26" s="23">
        <v>95</v>
      </c>
      <c r="F26" s="28" t="s">
        <v>880</v>
      </c>
      <c r="G26" s="28" t="s">
        <v>881</v>
      </c>
      <c r="H26" s="28" t="s">
        <v>887</v>
      </c>
      <c r="I26" s="28" t="s">
        <v>883</v>
      </c>
      <c r="J26" s="14" t="s">
        <v>888</v>
      </c>
      <c r="K26" s="4"/>
      <c r="L26" s="4"/>
    </row>
    <row r="27" spans="1:12" s="126" customFormat="1" ht="14.25" x14ac:dyDescent="0.25">
      <c r="A27" s="6" t="s">
        <v>93</v>
      </c>
      <c r="B27" s="160" t="s">
        <v>916</v>
      </c>
      <c r="C27" s="160"/>
      <c r="D27" s="160"/>
      <c r="E27" s="160"/>
      <c r="F27" s="160"/>
      <c r="G27" s="160"/>
      <c r="H27" s="160"/>
      <c r="I27" s="160"/>
      <c r="J27" s="160"/>
      <c r="K27" s="160"/>
      <c r="L27" s="6"/>
    </row>
    <row r="28" spans="1:12" ht="180" x14ac:dyDescent="0.25">
      <c r="A28" s="4">
        <v>21</v>
      </c>
      <c r="B28" s="137" t="s">
        <v>576</v>
      </c>
      <c r="C28" s="138" t="s">
        <v>1076</v>
      </c>
      <c r="D28" s="138" t="s">
        <v>1077</v>
      </c>
      <c r="E28" s="139">
        <v>122500</v>
      </c>
      <c r="F28" s="138" t="s">
        <v>53</v>
      </c>
      <c r="G28" s="138" t="s">
        <v>80</v>
      </c>
      <c r="H28" s="138" t="s">
        <v>91</v>
      </c>
      <c r="I28" s="140" t="s">
        <v>90</v>
      </c>
      <c r="J28" s="138" t="s">
        <v>78</v>
      </c>
      <c r="K28" s="3"/>
      <c r="L28" s="4"/>
    </row>
    <row r="29" spans="1:12" ht="90" x14ac:dyDescent="0.25">
      <c r="A29" s="4">
        <v>22</v>
      </c>
      <c r="B29" s="137" t="s">
        <v>1078</v>
      </c>
      <c r="C29" s="138" t="s">
        <v>1079</v>
      </c>
      <c r="D29" s="138">
        <v>70</v>
      </c>
      <c r="E29" s="139">
        <v>44000</v>
      </c>
      <c r="F29" s="138" t="s">
        <v>53</v>
      </c>
      <c r="G29" s="138" t="s">
        <v>80</v>
      </c>
      <c r="H29" s="138" t="s">
        <v>89</v>
      </c>
      <c r="I29" s="148" t="s">
        <v>79</v>
      </c>
      <c r="J29" s="138" t="s">
        <v>78</v>
      </c>
      <c r="K29" s="3"/>
      <c r="L29" s="4"/>
    </row>
    <row r="30" spans="1:12" ht="120" x14ac:dyDescent="0.25">
      <c r="A30" s="4">
        <v>23</v>
      </c>
      <c r="B30" s="15" t="s">
        <v>575</v>
      </c>
      <c r="C30" s="19" t="s">
        <v>549</v>
      </c>
      <c r="D30" s="19">
        <v>20</v>
      </c>
      <c r="E30" s="23">
        <v>300</v>
      </c>
      <c r="F30" s="15" t="s">
        <v>364</v>
      </c>
      <c r="G30" s="15" t="s">
        <v>368</v>
      </c>
      <c r="H30" s="15" t="s">
        <v>369</v>
      </c>
      <c r="I30" s="15" t="s">
        <v>444</v>
      </c>
      <c r="J30" s="19" t="s">
        <v>370</v>
      </c>
      <c r="K30" s="14"/>
      <c r="L30" s="4"/>
    </row>
    <row r="31" spans="1:12" ht="75" x14ac:dyDescent="0.25">
      <c r="A31" s="4">
        <v>24</v>
      </c>
      <c r="B31" s="8" t="s">
        <v>692</v>
      </c>
      <c r="C31" s="24" t="s">
        <v>689</v>
      </c>
      <c r="D31" s="9">
        <v>20</v>
      </c>
      <c r="E31" s="9">
        <v>300</v>
      </c>
      <c r="F31" s="70" t="s">
        <v>693</v>
      </c>
      <c r="G31" s="70" t="s">
        <v>694</v>
      </c>
      <c r="H31" s="8"/>
      <c r="I31" s="63" t="s">
        <v>607</v>
      </c>
      <c r="J31" s="64" t="s">
        <v>687</v>
      </c>
      <c r="K31" s="9">
        <v>25</v>
      </c>
      <c r="L31" s="4"/>
    </row>
    <row r="32" spans="1:12" ht="210" x14ac:dyDescent="0.25">
      <c r="A32" s="4">
        <v>25</v>
      </c>
      <c r="B32" s="15" t="s">
        <v>574</v>
      </c>
      <c r="C32" s="4" t="s">
        <v>88</v>
      </c>
      <c r="D32" s="29" t="s">
        <v>135</v>
      </c>
      <c r="E32" s="20">
        <v>240</v>
      </c>
      <c r="F32" s="15" t="s">
        <v>87</v>
      </c>
      <c r="G32" s="15" t="s">
        <v>86</v>
      </c>
      <c r="H32" s="15" t="s">
        <v>85</v>
      </c>
      <c r="I32" s="30" t="s">
        <v>294</v>
      </c>
      <c r="J32" s="19" t="s">
        <v>84</v>
      </c>
      <c r="K32" s="19">
        <v>135</v>
      </c>
      <c r="L32" s="4"/>
    </row>
    <row r="33" spans="1:13" ht="45" x14ac:dyDescent="0.25">
      <c r="A33" s="4">
        <v>26</v>
      </c>
      <c r="B33" s="28" t="s">
        <v>801</v>
      </c>
      <c r="C33" s="14" t="s">
        <v>802</v>
      </c>
      <c r="D33" s="14">
        <v>2</v>
      </c>
      <c r="E33" s="14">
        <v>100</v>
      </c>
      <c r="F33" s="28" t="s">
        <v>803</v>
      </c>
      <c r="G33" s="28" t="s">
        <v>804</v>
      </c>
      <c r="H33" s="28" t="s">
        <v>805</v>
      </c>
      <c r="I33" s="28" t="s">
        <v>806</v>
      </c>
      <c r="J33" s="14" t="s">
        <v>807</v>
      </c>
      <c r="K33" s="14">
        <v>7</v>
      </c>
      <c r="L33" s="4"/>
    </row>
    <row r="34" spans="1:13" ht="60" x14ac:dyDescent="0.25">
      <c r="A34" s="4">
        <v>27</v>
      </c>
      <c r="B34" s="112" t="s">
        <v>861</v>
      </c>
      <c r="C34" s="66" t="s">
        <v>862</v>
      </c>
      <c r="D34" s="67">
        <v>65</v>
      </c>
      <c r="E34" s="67" t="s">
        <v>863</v>
      </c>
      <c r="F34" s="113" t="s">
        <v>202</v>
      </c>
      <c r="G34" s="113" t="s">
        <v>864</v>
      </c>
      <c r="H34" s="112" t="s">
        <v>865</v>
      </c>
      <c r="I34" s="113" t="s">
        <v>866</v>
      </c>
      <c r="J34" s="67" t="s">
        <v>867</v>
      </c>
      <c r="K34" s="67">
        <v>50</v>
      </c>
      <c r="L34" s="4"/>
    </row>
    <row r="35" spans="1:13" x14ac:dyDescent="0.25">
      <c r="A35" s="6" t="s">
        <v>351</v>
      </c>
      <c r="B35" s="173" t="s">
        <v>1126</v>
      </c>
      <c r="C35" s="173"/>
      <c r="D35" s="173"/>
      <c r="E35" s="173"/>
      <c r="F35" s="173"/>
      <c r="G35" s="173"/>
      <c r="H35" s="173"/>
      <c r="I35" s="173"/>
      <c r="J35" s="173"/>
      <c r="K35" s="173"/>
      <c r="L35" s="116"/>
    </row>
    <row r="36" spans="1:13" ht="210" x14ac:dyDescent="0.25">
      <c r="A36" s="138">
        <v>28</v>
      </c>
      <c r="B36" s="142" t="s">
        <v>1106</v>
      </c>
      <c r="C36" s="143" t="s">
        <v>67</v>
      </c>
      <c r="D36" s="152" t="s">
        <v>1107</v>
      </c>
      <c r="E36" s="153">
        <v>3450</v>
      </c>
      <c r="F36" s="143" t="s">
        <v>53</v>
      </c>
      <c r="G36" s="143" t="s">
        <v>1108</v>
      </c>
      <c r="H36" s="143" t="s">
        <v>1109</v>
      </c>
      <c r="I36" s="154" t="s">
        <v>1110</v>
      </c>
      <c r="J36" s="142"/>
      <c r="K36" s="155"/>
      <c r="L36" s="116"/>
    </row>
    <row r="37" spans="1:13" ht="120" x14ac:dyDescent="0.25">
      <c r="A37" s="4">
        <v>29</v>
      </c>
      <c r="B37" s="15" t="s">
        <v>409</v>
      </c>
      <c r="C37" s="9" t="s">
        <v>399</v>
      </c>
      <c r="D37" s="9">
        <v>2.2000000000000002</v>
      </c>
      <c r="E37" s="23">
        <v>500</v>
      </c>
      <c r="F37" s="15" t="s">
        <v>410</v>
      </c>
      <c r="G37" s="8" t="s">
        <v>25</v>
      </c>
      <c r="H37" s="8" t="s">
        <v>411</v>
      </c>
      <c r="I37" s="8" t="s">
        <v>412</v>
      </c>
      <c r="J37" s="9" t="s">
        <v>413</v>
      </c>
      <c r="K37" s="9" t="s">
        <v>414</v>
      </c>
      <c r="L37" s="4"/>
    </row>
    <row r="38" spans="1:13" ht="60" x14ac:dyDescent="0.25">
      <c r="A38" s="4">
        <v>30</v>
      </c>
      <c r="B38" s="8" t="s">
        <v>393</v>
      </c>
      <c r="C38" s="9" t="s">
        <v>394</v>
      </c>
      <c r="D38" s="9">
        <v>15</v>
      </c>
      <c r="E38" s="23">
        <v>500</v>
      </c>
      <c r="F38" s="8" t="s">
        <v>447</v>
      </c>
      <c r="G38" s="8" t="s">
        <v>395</v>
      </c>
      <c r="H38" s="8" t="s">
        <v>396</v>
      </c>
      <c r="I38" s="8" t="s">
        <v>397</v>
      </c>
      <c r="J38" s="9" t="s">
        <v>398</v>
      </c>
      <c r="K38" s="9">
        <v>20</v>
      </c>
      <c r="L38" s="4"/>
    </row>
    <row r="39" spans="1:13" ht="45" x14ac:dyDescent="0.25">
      <c r="A39" s="4">
        <v>31</v>
      </c>
      <c r="B39" s="28" t="s">
        <v>603</v>
      </c>
      <c r="C39" s="14" t="s">
        <v>604</v>
      </c>
      <c r="D39" s="14">
        <v>30</v>
      </c>
      <c r="E39" s="35">
        <v>500</v>
      </c>
      <c r="F39" s="28" t="s">
        <v>605</v>
      </c>
      <c r="G39" s="28" t="s">
        <v>395</v>
      </c>
      <c r="H39" s="28" t="s">
        <v>606</v>
      </c>
      <c r="I39" s="28" t="s">
        <v>607</v>
      </c>
      <c r="J39" s="14" t="s">
        <v>398</v>
      </c>
      <c r="K39" s="14">
        <v>100</v>
      </c>
      <c r="L39" s="4"/>
    </row>
    <row r="40" spans="1:13" ht="75" x14ac:dyDescent="0.25">
      <c r="A40" s="4">
        <v>32</v>
      </c>
      <c r="B40" s="15" t="s">
        <v>404</v>
      </c>
      <c r="C40" s="9" t="s">
        <v>394</v>
      </c>
      <c r="D40" s="9">
        <v>2.4</v>
      </c>
      <c r="E40" s="23">
        <v>400</v>
      </c>
      <c r="F40" s="15" t="s">
        <v>405</v>
      </c>
      <c r="G40" s="8" t="s">
        <v>406</v>
      </c>
      <c r="H40" s="8" t="s">
        <v>407</v>
      </c>
      <c r="I40" s="8" t="s">
        <v>408</v>
      </c>
      <c r="J40" s="9" t="s">
        <v>398</v>
      </c>
      <c r="K40" s="9">
        <v>80</v>
      </c>
      <c r="L40" s="4"/>
    </row>
    <row r="41" spans="1:13" ht="75" x14ac:dyDescent="0.25">
      <c r="A41" s="4">
        <v>33</v>
      </c>
      <c r="B41" s="8" t="s">
        <v>583</v>
      </c>
      <c r="C41" s="9" t="s">
        <v>399</v>
      </c>
      <c r="D41" s="9">
        <v>30</v>
      </c>
      <c r="E41" s="23">
        <v>300</v>
      </c>
      <c r="F41" s="8" t="s">
        <v>400</v>
      </c>
      <c r="G41" s="8" t="s">
        <v>401</v>
      </c>
      <c r="H41" s="8" t="s">
        <v>402</v>
      </c>
      <c r="I41" s="8" t="s">
        <v>403</v>
      </c>
      <c r="J41" s="9" t="s">
        <v>398</v>
      </c>
      <c r="K41" s="9">
        <v>30</v>
      </c>
      <c r="L41" s="4"/>
    </row>
    <row r="42" spans="1:13" ht="120" x14ac:dyDescent="0.25">
      <c r="A42" s="4">
        <v>34</v>
      </c>
      <c r="B42" s="106" t="s">
        <v>431</v>
      </c>
      <c r="C42" s="60" t="s">
        <v>425</v>
      </c>
      <c r="D42" s="17">
        <v>20</v>
      </c>
      <c r="E42" s="61">
        <v>300</v>
      </c>
      <c r="F42" s="106" t="s">
        <v>426</v>
      </c>
      <c r="G42" s="58" t="s">
        <v>668</v>
      </c>
      <c r="H42" s="58" t="s">
        <v>369</v>
      </c>
      <c r="I42" s="58" t="s">
        <v>432</v>
      </c>
      <c r="J42" s="17" t="s">
        <v>418</v>
      </c>
      <c r="K42" s="27"/>
      <c r="L42" s="32" t="s">
        <v>669</v>
      </c>
    </row>
    <row r="43" spans="1:13" ht="90" x14ac:dyDescent="0.25">
      <c r="A43" s="4">
        <v>35</v>
      </c>
      <c r="B43" s="28" t="s">
        <v>585</v>
      </c>
      <c r="C43" s="14" t="s">
        <v>419</v>
      </c>
      <c r="D43" s="14">
        <v>1.3</v>
      </c>
      <c r="E43" s="47">
        <v>296</v>
      </c>
      <c r="F43" s="28" t="s">
        <v>420</v>
      </c>
      <c r="G43" s="28" t="s">
        <v>421</v>
      </c>
      <c r="H43" s="28" t="s">
        <v>422</v>
      </c>
      <c r="I43" s="28" t="s">
        <v>423</v>
      </c>
      <c r="J43" s="14" t="s">
        <v>418</v>
      </c>
      <c r="K43" s="14">
        <v>0</v>
      </c>
      <c r="L43" s="4"/>
    </row>
    <row r="44" spans="1:13" ht="90" x14ac:dyDescent="0.25">
      <c r="A44" s="4">
        <v>36</v>
      </c>
      <c r="B44" s="28" t="s">
        <v>834</v>
      </c>
      <c r="C44" s="4" t="s">
        <v>823</v>
      </c>
      <c r="D44" s="14">
        <v>44.3</v>
      </c>
      <c r="E44" s="23">
        <v>250</v>
      </c>
      <c r="F44" s="28" t="s">
        <v>824</v>
      </c>
      <c r="G44" s="28" t="s">
        <v>825</v>
      </c>
      <c r="H44" s="28" t="s">
        <v>826</v>
      </c>
      <c r="I44" s="122" t="s">
        <v>827</v>
      </c>
      <c r="J44" s="14" t="s">
        <v>828</v>
      </c>
      <c r="K44" s="4">
        <v>80</v>
      </c>
      <c r="L44" s="4"/>
    </row>
    <row r="45" spans="1:13" ht="90" x14ac:dyDescent="0.25">
      <c r="A45" s="4">
        <v>37</v>
      </c>
      <c r="B45" s="28" t="s">
        <v>584</v>
      </c>
      <c r="C45" s="14" t="s">
        <v>415</v>
      </c>
      <c r="D45" s="14">
        <v>1.04</v>
      </c>
      <c r="E45" s="47">
        <v>236</v>
      </c>
      <c r="F45" s="28" t="s">
        <v>416</v>
      </c>
      <c r="G45" s="28" t="s">
        <v>368</v>
      </c>
      <c r="H45" s="28" t="s">
        <v>641</v>
      </c>
      <c r="I45" s="28" t="s">
        <v>417</v>
      </c>
      <c r="J45" s="14" t="s">
        <v>418</v>
      </c>
      <c r="K45" s="14">
        <f>D45*20</f>
        <v>20.8</v>
      </c>
      <c r="L45" s="4"/>
    </row>
    <row r="46" spans="1:13" ht="45" x14ac:dyDescent="0.25">
      <c r="A46" s="4">
        <v>38</v>
      </c>
      <c r="B46" s="8" t="s">
        <v>699</v>
      </c>
      <c r="C46" s="9" t="s">
        <v>700</v>
      </c>
      <c r="D46" s="9">
        <v>3</v>
      </c>
      <c r="E46" s="9">
        <v>200</v>
      </c>
      <c r="F46" s="8" t="s">
        <v>701</v>
      </c>
      <c r="G46" s="8" t="s">
        <v>395</v>
      </c>
      <c r="H46" s="8" t="s">
        <v>702</v>
      </c>
      <c r="I46" s="8" t="s">
        <v>397</v>
      </c>
      <c r="J46" s="65" t="s">
        <v>398</v>
      </c>
      <c r="K46" s="9">
        <v>5</v>
      </c>
      <c r="L46" s="4"/>
    </row>
    <row r="47" spans="1:13" ht="45" x14ac:dyDescent="0.25">
      <c r="A47" s="4">
        <v>39</v>
      </c>
      <c r="B47" s="8" t="s">
        <v>718</v>
      </c>
      <c r="C47" s="9" t="s">
        <v>719</v>
      </c>
      <c r="D47" s="9">
        <v>18</v>
      </c>
      <c r="E47" s="9">
        <v>200</v>
      </c>
      <c r="F47" s="8" t="s">
        <v>720</v>
      </c>
      <c r="G47" s="8" t="s">
        <v>721</v>
      </c>
      <c r="H47" s="8" t="s">
        <v>722</v>
      </c>
      <c r="I47" s="8" t="s">
        <v>723</v>
      </c>
      <c r="J47" s="9" t="s">
        <v>724</v>
      </c>
      <c r="K47" s="9" t="s">
        <v>725</v>
      </c>
      <c r="L47" s="4"/>
    </row>
    <row r="48" spans="1:13" ht="165" x14ac:dyDescent="0.25">
      <c r="A48" s="4">
        <v>40</v>
      </c>
      <c r="B48" s="58" t="s">
        <v>523</v>
      </c>
      <c r="C48" s="17" t="s">
        <v>524</v>
      </c>
      <c r="D48" s="17" t="s">
        <v>525</v>
      </c>
      <c r="E48" s="62">
        <v>150</v>
      </c>
      <c r="F48" s="58" t="s">
        <v>1059</v>
      </c>
      <c r="G48" s="58" t="s">
        <v>652</v>
      </c>
      <c r="H48" s="58"/>
      <c r="I48" s="58" t="s">
        <v>642</v>
      </c>
      <c r="J48" s="17" t="s">
        <v>649</v>
      </c>
      <c r="K48" s="17">
        <v>45</v>
      </c>
      <c r="L48" s="32" t="s">
        <v>651</v>
      </c>
      <c r="M48" s="104" t="s">
        <v>650</v>
      </c>
    </row>
    <row r="49" spans="1:13" ht="135" x14ac:dyDescent="0.25">
      <c r="A49" s="4">
        <v>41</v>
      </c>
      <c r="B49" s="28" t="s">
        <v>902</v>
      </c>
      <c r="C49" s="14" t="s">
        <v>474</v>
      </c>
      <c r="D49" s="14">
        <v>3.3450000000000002</v>
      </c>
      <c r="E49" s="23">
        <v>150</v>
      </c>
      <c r="F49" s="28" t="s">
        <v>903</v>
      </c>
      <c r="G49" s="28" t="s">
        <v>904</v>
      </c>
      <c r="H49" s="28" t="s">
        <v>905</v>
      </c>
      <c r="I49" s="28" t="s">
        <v>906</v>
      </c>
      <c r="J49" s="14" t="s">
        <v>901</v>
      </c>
      <c r="K49" s="4">
        <v>100</v>
      </c>
      <c r="L49" s="4"/>
      <c r="M49" s="104"/>
    </row>
    <row r="50" spans="1:13" ht="90" x14ac:dyDescent="0.25">
      <c r="A50" s="4">
        <v>42</v>
      </c>
      <c r="B50" s="28" t="s">
        <v>914</v>
      </c>
      <c r="C50" s="14" t="s">
        <v>354</v>
      </c>
      <c r="D50" s="14">
        <v>0.25629999999999997</v>
      </c>
      <c r="E50" s="9">
        <v>120</v>
      </c>
      <c r="F50" s="28" t="s">
        <v>726</v>
      </c>
      <c r="G50" s="28" t="s">
        <v>727</v>
      </c>
      <c r="H50" s="28" t="s">
        <v>728</v>
      </c>
      <c r="I50" s="28" t="s">
        <v>729</v>
      </c>
      <c r="J50" s="14" t="s">
        <v>730</v>
      </c>
      <c r="K50" s="9"/>
      <c r="L50" s="4"/>
      <c r="M50" s="104"/>
    </row>
    <row r="51" spans="1:13" ht="60" x14ac:dyDescent="0.25">
      <c r="A51" s="4">
        <v>43</v>
      </c>
      <c r="B51" s="28" t="s">
        <v>514</v>
      </c>
      <c r="C51" s="14" t="s">
        <v>515</v>
      </c>
      <c r="D51" s="9">
        <v>1.7</v>
      </c>
      <c r="E51" s="23">
        <v>100</v>
      </c>
      <c r="F51" s="28" t="s">
        <v>237</v>
      </c>
      <c r="G51" s="28" t="s">
        <v>237</v>
      </c>
      <c r="H51" s="28" t="s">
        <v>516</v>
      </c>
      <c r="I51" s="28" t="s">
        <v>517</v>
      </c>
      <c r="J51" s="14" t="s">
        <v>398</v>
      </c>
      <c r="K51" s="9">
        <v>2</v>
      </c>
      <c r="L51" s="4"/>
    </row>
    <row r="52" spans="1:13" ht="135" x14ac:dyDescent="0.25">
      <c r="A52" s="4">
        <v>44</v>
      </c>
      <c r="B52" s="28" t="s">
        <v>835</v>
      </c>
      <c r="C52" s="14" t="s">
        <v>829</v>
      </c>
      <c r="D52" s="14">
        <v>11.9</v>
      </c>
      <c r="E52" s="23">
        <v>80</v>
      </c>
      <c r="F52" s="28" t="s">
        <v>830</v>
      </c>
      <c r="G52" s="28" t="s">
        <v>831</v>
      </c>
      <c r="H52" s="28" t="s">
        <v>832</v>
      </c>
      <c r="I52" s="122" t="s">
        <v>827</v>
      </c>
      <c r="J52" s="14" t="s">
        <v>833</v>
      </c>
      <c r="K52" s="4">
        <v>20</v>
      </c>
      <c r="L52" s="4"/>
    </row>
    <row r="53" spans="1:13" ht="75" x14ac:dyDescent="0.25">
      <c r="A53" s="4">
        <v>45</v>
      </c>
      <c r="B53" s="97" t="s">
        <v>759</v>
      </c>
      <c r="C53" s="95" t="s">
        <v>753</v>
      </c>
      <c r="D53" s="95">
        <v>4.9000000000000004</v>
      </c>
      <c r="E53" s="14">
        <v>70</v>
      </c>
      <c r="F53" s="28" t="s">
        <v>748</v>
      </c>
      <c r="G53" s="28" t="s">
        <v>760</v>
      </c>
      <c r="H53" s="28" t="s">
        <v>761</v>
      </c>
      <c r="I53" s="28" t="s">
        <v>762</v>
      </c>
      <c r="J53" s="14" t="s">
        <v>239</v>
      </c>
      <c r="K53" s="95">
        <v>30</v>
      </c>
      <c r="L53" s="4"/>
    </row>
    <row r="54" spans="1:13" x14ac:dyDescent="0.25">
      <c r="E54" s="18"/>
    </row>
    <row r="55" spans="1:13" x14ac:dyDescent="0.25">
      <c r="E55" s="18"/>
    </row>
    <row r="56" spans="1:13" x14ac:dyDescent="0.25">
      <c r="E56" s="18"/>
    </row>
  </sheetData>
  <autoFilter ref="A4:K53" xr:uid="{00000000-0009-0000-0000-000003000000}"/>
  <mergeCells count="4">
    <mergeCell ref="B35:K35"/>
    <mergeCell ref="B6:K6"/>
    <mergeCell ref="B27:K27"/>
    <mergeCell ref="A2:L2"/>
  </mergeCells>
  <pageMargins left="0.1" right="0.1" top="0.2" bottom="0.1" header="0.2" footer="0.25"/>
  <pageSetup paperSize="9" scale="7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L29"/>
  <sheetViews>
    <sheetView zoomScale="90" zoomScaleNormal="90" workbookViewId="0">
      <pane xSplit="1" ySplit="6" topLeftCell="B10" activePane="bottomRight" state="frozen"/>
      <selection pane="topRight" activeCell="B1" sqref="B1"/>
      <selection pane="bottomLeft" activeCell="A4" sqref="A4"/>
      <selection pane="bottomRight" activeCell="A4" sqref="A4:L4"/>
    </sheetView>
  </sheetViews>
  <sheetFormatPr defaultColWidth="11" defaultRowHeight="15" x14ac:dyDescent="0.25"/>
  <cols>
    <col min="1" max="1" width="5.7109375" style="18" customWidth="1"/>
    <col min="2" max="2" width="20.85546875" style="117" customWidth="1"/>
    <col min="3" max="3" width="14.140625" style="18" customWidth="1"/>
    <col min="4" max="4" width="9.7109375" style="18" customWidth="1"/>
    <col min="5" max="5" width="10.7109375" style="72" customWidth="1"/>
    <col min="6" max="6" width="16.7109375" style="117" customWidth="1"/>
    <col min="7" max="7" width="23" style="117" customWidth="1"/>
    <col min="8" max="8" width="34.85546875" style="117" customWidth="1"/>
    <col min="9" max="9" width="43.5703125" style="117" customWidth="1"/>
    <col min="10" max="12" width="16.5703125" style="18" customWidth="1"/>
    <col min="13" max="13" width="15.28515625" style="117" customWidth="1"/>
    <col min="14" max="16384" width="11" style="117"/>
  </cols>
  <sheetData>
    <row r="1" spans="1:12" s="18" customFormat="1" x14ac:dyDescent="0.25">
      <c r="E1" s="72"/>
    </row>
    <row r="2" spans="1:12" s="18" customFormat="1" ht="20.25" customHeight="1" x14ac:dyDescent="0.25">
      <c r="A2" s="158" t="s">
        <v>1068</v>
      </c>
      <c r="B2" s="158"/>
      <c r="C2" s="158"/>
      <c r="D2" s="158"/>
      <c r="E2" s="158"/>
      <c r="F2" s="158"/>
      <c r="G2" s="158"/>
      <c r="H2" s="158"/>
      <c r="I2" s="158"/>
      <c r="J2" s="158"/>
      <c r="K2" s="158"/>
      <c r="L2" s="158"/>
    </row>
    <row r="3" spans="1:12" s="18" customFormat="1" ht="20.25" customHeight="1" x14ac:dyDescent="0.25">
      <c r="A3" s="158" t="s">
        <v>1136</v>
      </c>
      <c r="B3" s="158"/>
      <c r="C3" s="158"/>
      <c r="D3" s="158"/>
      <c r="E3" s="158"/>
      <c r="F3" s="158"/>
      <c r="G3" s="158"/>
      <c r="H3" s="158"/>
      <c r="I3" s="158"/>
      <c r="J3" s="158"/>
      <c r="K3" s="158"/>
      <c r="L3" s="158"/>
    </row>
    <row r="4" spans="1:12" s="18" customFormat="1" ht="21.75" customHeight="1" x14ac:dyDescent="0.25">
      <c r="A4" s="158" t="s">
        <v>1137</v>
      </c>
      <c r="B4" s="158"/>
      <c r="C4" s="158"/>
      <c r="D4" s="158"/>
      <c r="E4" s="158"/>
      <c r="F4" s="158"/>
      <c r="G4" s="158"/>
      <c r="H4" s="158"/>
      <c r="I4" s="158"/>
      <c r="J4" s="158"/>
      <c r="K4" s="158"/>
      <c r="L4" s="158"/>
    </row>
    <row r="5" spans="1:12" s="18" customFormat="1" x14ac:dyDescent="0.25">
      <c r="E5" s="72"/>
    </row>
    <row r="6" spans="1:12" s="18" customFormat="1" ht="74.25" customHeight="1" x14ac:dyDescent="0.25">
      <c r="A6" s="1" t="s">
        <v>114</v>
      </c>
      <c r="B6" s="1" t="s">
        <v>113</v>
      </c>
      <c r="C6" s="1" t="s">
        <v>112</v>
      </c>
      <c r="D6" s="1" t="s">
        <v>111</v>
      </c>
      <c r="E6" s="2" t="s">
        <v>110</v>
      </c>
      <c r="F6" s="1" t="s">
        <v>109</v>
      </c>
      <c r="G6" s="1" t="s">
        <v>108</v>
      </c>
      <c r="H6" s="1" t="s">
        <v>107</v>
      </c>
      <c r="I6" s="1" t="s">
        <v>106</v>
      </c>
      <c r="J6" s="1" t="s">
        <v>105</v>
      </c>
      <c r="K6" s="1" t="s">
        <v>1054</v>
      </c>
      <c r="L6" s="10" t="s">
        <v>632</v>
      </c>
    </row>
    <row r="7" spans="1:12" s="18" customFormat="1" x14ac:dyDescent="0.25">
      <c r="A7" s="3">
        <v>1</v>
      </c>
      <c r="B7" s="3">
        <v>2</v>
      </c>
      <c r="C7" s="3">
        <v>3</v>
      </c>
      <c r="D7" s="4">
        <v>4</v>
      </c>
      <c r="E7" s="5">
        <v>5</v>
      </c>
      <c r="F7" s="3">
        <v>6</v>
      </c>
      <c r="G7" s="3">
        <v>7</v>
      </c>
      <c r="H7" s="3">
        <v>8</v>
      </c>
      <c r="I7" s="3">
        <v>9</v>
      </c>
      <c r="J7" s="4">
        <v>10</v>
      </c>
      <c r="K7" s="3">
        <v>11</v>
      </c>
      <c r="L7" s="4"/>
    </row>
    <row r="8" spans="1:12" ht="15" customHeight="1" x14ac:dyDescent="0.25">
      <c r="A8" s="6" t="s">
        <v>104</v>
      </c>
      <c r="B8" s="176" t="s">
        <v>1128</v>
      </c>
      <c r="C8" s="177"/>
      <c r="D8" s="177"/>
      <c r="E8" s="177"/>
      <c r="F8" s="177"/>
      <c r="G8" s="177"/>
      <c r="H8" s="177"/>
      <c r="I8" s="177"/>
      <c r="J8" s="177"/>
      <c r="K8" s="177"/>
      <c r="L8" s="178"/>
    </row>
    <row r="9" spans="1:12" ht="120" x14ac:dyDescent="0.25">
      <c r="A9" s="4">
        <v>1</v>
      </c>
      <c r="B9" s="21" t="s">
        <v>593</v>
      </c>
      <c r="C9" s="4" t="s">
        <v>176</v>
      </c>
      <c r="D9" s="4">
        <v>3.75</v>
      </c>
      <c r="E9" s="20">
        <v>1300</v>
      </c>
      <c r="F9" s="21" t="s">
        <v>179</v>
      </c>
      <c r="G9" s="21" t="s">
        <v>178</v>
      </c>
      <c r="H9" s="21" t="s">
        <v>180</v>
      </c>
      <c r="I9" s="11" t="s">
        <v>302</v>
      </c>
      <c r="J9" s="4" t="s">
        <v>14</v>
      </c>
      <c r="K9" s="4"/>
      <c r="L9" s="4"/>
    </row>
    <row r="10" spans="1:12" ht="210" x14ac:dyDescent="0.25">
      <c r="A10" s="4">
        <v>2</v>
      </c>
      <c r="B10" s="21" t="s">
        <v>592</v>
      </c>
      <c r="C10" s="4" t="s">
        <v>20</v>
      </c>
      <c r="D10" s="4">
        <v>3.73</v>
      </c>
      <c r="E10" s="20">
        <v>1000</v>
      </c>
      <c r="F10" s="21" t="s">
        <v>15</v>
      </c>
      <c r="G10" s="21" t="s">
        <v>177</v>
      </c>
      <c r="H10" s="21" t="s">
        <v>181</v>
      </c>
      <c r="I10" s="11" t="s">
        <v>303</v>
      </c>
      <c r="J10" s="4" t="s">
        <v>14</v>
      </c>
      <c r="K10" s="4"/>
      <c r="L10" s="4"/>
    </row>
    <row r="11" spans="1:12" ht="165" x14ac:dyDescent="0.25">
      <c r="A11" s="4">
        <v>3</v>
      </c>
      <c r="B11" s="21" t="s">
        <v>557</v>
      </c>
      <c r="C11" s="4" t="s">
        <v>13</v>
      </c>
      <c r="D11" s="4" t="s">
        <v>138</v>
      </c>
      <c r="E11" s="20">
        <v>300</v>
      </c>
      <c r="F11" s="21" t="s">
        <v>12</v>
      </c>
      <c r="G11" s="21" t="s">
        <v>11</v>
      </c>
      <c r="H11" s="21" t="s">
        <v>10</v>
      </c>
      <c r="I11" s="30" t="s">
        <v>301</v>
      </c>
      <c r="J11" s="4" t="s">
        <v>9</v>
      </c>
      <c r="K11" s="4">
        <v>12.6</v>
      </c>
      <c r="L11" s="4"/>
    </row>
    <row r="12" spans="1:12" ht="150" x14ac:dyDescent="0.25">
      <c r="A12" s="4">
        <v>4</v>
      </c>
      <c r="B12" s="21" t="s">
        <v>591</v>
      </c>
      <c r="C12" s="4" t="s">
        <v>240</v>
      </c>
      <c r="D12" s="57">
        <v>1.4149</v>
      </c>
      <c r="E12" s="20">
        <v>100</v>
      </c>
      <c r="F12" s="21" t="s">
        <v>284</v>
      </c>
      <c r="G12" s="21" t="s">
        <v>285</v>
      </c>
      <c r="H12" s="21" t="s">
        <v>218</v>
      </c>
      <c r="I12" s="11" t="s">
        <v>286</v>
      </c>
      <c r="J12" s="4" t="s">
        <v>14</v>
      </c>
      <c r="K12" s="4"/>
      <c r="L12" s="4"/>
    </row>
    <row r="13" spans="1:12" x14ac:dyDescent="0.25">
      <c r="A13" s="6" t="s">
        <v>93</v>
      </c>
      <c r="B13" s="173" t="s">
        <v>1129</v>
      </c>
      <c r="C13" s="173"/>
      <c r="D13" s="173"/>
      <c r="E13" s="173"/>
      <c r="F13" s="173"/>
      <c r="G13" s="173"/>
      <c r="H13" s="173"/>
      <c r="I13" s="173"/>
      <c r="J13" s="173"/>
      <c r="K13" s="173"/>
      <c r="L13" s="116"/>
    </row>
    <row r="14" spans="1:12" ht="240" x14ac:dyDescent="0.25">
      <c r="A14" s="138">
        <v>5</v>
      </c>
      <c r="B14" s="137" t="s">
        <v>1114</v>
      </c>
      <c r="C14" s="138" t="s">
        <v>16</v>
      </c>
      <c r="D14" s="157" t="s">
        <v>1115</v>
      </c>
      <c r="E14" s="139">
        <v>1400</v>
      </c>
      <c r="F14" s="138" t="s">
        <v>59</v>
      </c>
      <c r="G14" s="138" t="s">
        <v>1116</v>
      </c>
      <c r="H14" s="138" t="s">
        <v>1117</v>
      </c>
      <c r="I14" s="140" t="s">
        <v>1118</v>
      </c>
      <c r="J14" s="138" t="s">
        <v>14</v>
      </c>
      <c r="K14" s="149"/>
      <c r="L14" s="116"/>
    </row>
    <row r="15" spans="1:12" ht="240" x14ac:dyDescent="0.25">
      <c r="A15" s="4">
        <v>6</v>
      </c>
      <c r="B15" s="28" t="s">
        <v>792</v>
      </c>
      <c r="C15" s="14" t="s">
        <v>489</v>
      </c>
      <c r="D15" s="14">
        <v>5</v>
      </c>
      <c r="E15" s="68">
        <v>150</v>
      </c>
      <c r="F15" s="28" t="s">
        <v>376</v>
      </c>
      <c r="G15" s="28" t="s">
        <v>793</v>
      </c>
      <c r="H15" s="28">
        <f t="shared" ref="H15:H16" si="0">D15</f>
        <v>5</v>
      </c>
      <c r="I15" s="69" t="s">
        <v>794</v>
      </c>
      <c r="J15" s="14" t="s">
        <v>790</v>
      </c>
      <c r="K15" s="14" t="s">
        <v>795</v>
      </c>
      <c r="L15" s="4"/>
    </row>
    <row r="16" spans="1:12" ht="270" x14ac:dyDescent="0.25">
      <c r="A16" s="4">
        <v>7</v>
      </c>
      <c r="B16" s="28" t="s">
        <v>796</v>
      </c>
      <c r="C16" s="14" t="s">
        <v>489</v>
      </c>
      <c r="D16" s="14">
        <v>3</v>
      </c>
      <c r="E16" s="68">
        <v>75</v>
      </c>
      <c r="F16" s="28" t="s">
        <v>797</v>
      </c>
      <c r="G16" s="28" t="s">
        <v>798</v>
      </c>
      <c r="H16" s="28">
        <f t="shared" si="0"/>
        <v>3</v>
      </c>
      <c r="I16" s="69" t="s">
        <v>799</v>
      </c>
      <c r="J16" s="14" t="s">
        <v>790</v>
      </c>
      <c r="K16" s="14" t="s">
        <v>800</v>
      </c>
      <c r="L16" s="4"/>
    </row>
    <row r="17" spans="1:12" ht="45" x14ac:dyDescent="0.25">
      <c r="A17" s="4">
        <v>8</v>
      </c>
      <c r="B17" s="28" t="s">
        <v>737</v>
      </c>
      <c r="C17" s="14" t="s">
        <v>738</v>
      </c>
      <c r="D17" s="14" t="s">
        <v>739</v>
      </c>
      <c r="E17" s="14" t="s">
        <v>740</v>
      </c>
      <c r="F17" s="28" t="s">
        <v>741</v>
      </c>
      <c r="G17" s="28" t="s">
        <v>742</v>
      </c>
      <c r="H17" s="28" t="s">
        <v>743</v>
      </c>
      <c r="I17" s="28" t="s">
        <v>744</v>
      </c>
      <c r="J17" s="14" t="s">
        <v>745</v>
      </c>
      <c r="K17" s="14">
        <v>0</v>
      </c>
      <c r="L17" s="4"/>
    </row>
    <row r="18" spans="1:12" ht="15" customHeight="1" x14ac:dyDescent="0.25">
      <c r="A18" s="6" t="s">
        <v>351</v>
      </c>
      <c r="B18" s="176" t="s">
        <v>913</v>
      </c>
      <c r="C18" s="177"/>
      <c r="D18" s="177"/>
      <c r="E18" s="177"/>
      <c r="F18" s="177"/>
      <c r="G18" s="177"/>
      <c r="H18" s="177"/>
      <c r="I18" s="177"/>
      <c r="J18" s="177"/>
      <c r="K18" s="177"/>
      <c r="L18" s="178"/>
    </row>
    <row r="19" spans="1:12" ht="60" x14ac:dyDescent="0.25">
      <c r="A19" s="4">
        <v>9</v>
      </c>
      <c r="B19" s="21" t="s">
        <v>208</v>
      </c>
      <c r="C19" s="4" t="s">
        <v>130</v>
      </c>
      <c r="D19" s="41">
        <v>50</v>
      </c>
      <c r="E19" s="20">
        <v>1000</v>
      </c>
      <c r="F19" s="21" t="s">
        <v>131</v>
      </c>
      <c r="G19" s="21" t="s">
        <v>132</v>
      </c>
      <c r="H19" s="21" t="s">
        <v>207</v>
      </c>
      <c r="I19" s="30" t="s">
        <v>1060</v>
      </c>
      <c r="J19" s="4" t="s">
        <v>22</v>
      </c>
      <c r="K19" s="4" t="s">
        <v>133</v>
      </c>
      <c r="L19" s="4"/>
    </row>
    <row r="20" spans="1:12" ht="120" x14ac:dyDescent="0.25">
      <c r="A20" s="4">
        <v>10</v>
      </c>
      <c r="B20" s="137" t="s">
        <v>21</v>
      </c>
      <c r="C20" s="138" t="s">
        <v>67</v>
      </c>
      <c r="D20" s="138" t="s">
        <v>1113</v>
      </c>
      <c r="E20" s="139">
        <v>500</v>
      </c>
      <c r="F20" s="138" t="s">
        <v>15</v>
      </c>
      <c r="G20" s="138" t="s">
        <v>19</v>
      </c>
      <c r="H20" s="138" t="s">
        <v>18</v>
      </c>
      <c r="I20" s="140" t="s">
        <v>17</v>
      </c>
      <c r="J20" s="138" t="s">
        <v>14</v>
      </c>
      <c r="K20" s="3"/>
      <c r="L20" s="4"/>
    </row>
    <row r="21" spans="1:12" ht="60" x14ac:dyDescent="0.25">
      <c r="A21" s="4">
        <v>11</v>
      </c>
      <c r="B21" s="123" t="s">
        <v>731</v>
      </c>
      <c r="C21" s="94" t="s">
        <v>454</v>
      </c>
      <c r="D21" s="94">
        <v>10</v>
      </c>
      <c r="E21" s="94">
        <v>168</v>
      </c>
      <c r="F21" s="123" t="s">
        <v>732</v>
      </c>
      <c r="G21" s="123" t="s">
        <v>456</v>
      </c>
      <c r="H21" s="123" t="s">
        <v>733</v>
      </c>
      <c r="I21" s="123" t="s">
        <v>734</v>
      </c>
      <c r="J21" s="94" t="s">
        <v>398</v>
      </c>
      <c r="K21" s="94">
        <v>20</v>
      </c>
      <c r="L21" s="4"/>
    </row>
    <row r="22" spans="1:12" ht="150" x14ac:dyDescent="0.25">
      <c r="A22" s="4">
        <v>12</v>
      </c>
      <c r="B22" s="8" t="s">
        <v>433</v>
      </c>
      <c r="C22" s="9" t="s">
        <v>434</v>
      </c>
      <c r="D22" s="9">
        <v>11</v>
      </c>
      <c r="E22" s="94">
        <v>120</v>
      </c>
      <c r="F22" s="8" t="s">
        <v>435</v>
      </c>
      <c r="G22" s="8" t="s">
        <v>436</v>
      </c>
      <c r="H22" s="8" t="s">
        <v>437</v>
      </c>
      <c r="I22" s="76" t="s">
        <v>438</v>
      </c>
      <c r="J22" s="9" t="s">
        <v>647</v>
      </c>
      <c r="K22" s="9">
        <v>20</v>
      </c>
      <c r="L22" s="4"/>
    </row>
    <row r="23" spans="1:12" ht="45" x14ac:dyDescent="0.25">
      <c r="A23" s="4">
        <v>13</v>
      </c>
      <c r="B23" s="21" t="s">
        <v>235</v>
      </c>
      <c r="C23" s="4" t="s">
        <v>6</v>
      </c>
      <c r="D23" s="4">
        <v>5</v>
      </c>
      <c r="E23" s="94">
        <v>100</v>
      </c>
      <c r="F23" s="21" t="s">
        <v>236</v>
      </c>
      <c r="G23" s="21" t="s">
        <v>237</v>
      </c>
      <c r="H23" s="21" t="s">
        <v>238</v>
      </c>
      <c r="I23" s="21" t="s">
        <v>297</v>
      </c>
      <c r="J23" s="4" t="s">
        <v>239</v>
      </c>
      <c r="K23" s="4">
        <v>5</v>
      </c>
      <c r="L23" s="4"/>
    </row>
    <row r="24" spans="1:12" ht="15" customHeight="1" x14ac:dyDescent="0.25">
      <c r="A24" s="6" t="s">
        <v>351</v>
      </c>
      <c r="B24" s="176" t="s">
        <v>352</v>
      </c>
      <c r="C24" s="177"/>
      <c r="D24" s="177"/>
      <c r="E24" s="177"/>
      <c r="F24" s="177"/>
      <c r="G24" s="177"/>
      <c r="H24" s="177"/>
      <c r="I24" s="177"/>
      <c r="J24" s="177"/>
      <c r="K24" s="177"/>
      <c r="L24" s="178"/>
    </row>
    <row r="25" spans="1:12" ht="150" x14ac:dyDescent="0.25">
      <c r="A25" s="4">
        <v>14</v>
      </c>
      <c r="B25" s="137" t="s">
        <v>590</v>
      </c>
      <c r="C25" s="138" t="s">
        <v>1076</v>
      </c>
      <c r="D25" s="138">
        <v>200</v>
      </c>
      <c r="E25" s="139">
        <v>2450</v>
      </c>
      <c r="F25" s="138" t="s">
        <v>53</v>
      </c>
      <c r="G25" s="138" t="s">
        <v>80</v>
      </c>
      <c r="H25" s="156" t="s">
        <v>304</v>
      </c>
      <c r="I25" s="148" t="s">
        <v>305</v>
      </c>
      <c r="J25" s="138" t="s">
        <v>78</v>
      </c>
      <c r="K25" s="141"/>
      <c r="L25" s="4"/>
    </row>
    <row r="26" spans="1:12" x14ac:dyDescent="0.25">
      <c r="E26" s="18"/>
    </row>
    <row r="27" spans="1:12" ht="79.5" customHeight="1" x14ac:dyDescent="0.25">
      <c r="E27" s="18"/>
    </row>
    <row r="28" spans="1:12" x14ac:dyDescent="0.25">
      <c r="E28" s="18"/>
    </row>
    <row r="29" spans="1:12" x14ac:dyDescent="0.25">
      <c r="E29" s="18"/>
    </row>
  </sheetData>
  <autoFilter ref="A6:K25" xr:uid="{00000000-0009-0000-0000-000004000000}"/>
  <mergeCells count="7">
    <mergeCell ref="B13:K13"/>
    <mergeCell ref="A2:L2"/>
    <mergeCell ref="B18:L18"/>
    <mergeCell ref="B24:L24"/>
    <mergeCell ref="B8:L8"/>
    <mergeCell ref="A3:L3"/>
    <mergeCell ref="A4:L4"/>
  </mergeCells>
  <pageMargins left="0.1" right="0.1" top="0.2" bottom="0.1" header="0.2" footer="0.25"/>
  <pageSetup paperSize="9" scale="7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M37"/>
  <sheetViews>
    <sheetView zoomScale="90" zoomScaleNormal="90" workbookViewId="0">
      <pane xSplit="1" ySplit="6" topLeftCell="B7" activePane="bottomRight" state="frozen"/>
      <selection pane="topRight" activeCell="B1" sqref="B1"/>
      <selection pane="bottomLeft" activeCell="A4" sqref="A4"/>
      <selection pane="bottomRight" activeCell="A4" sqref="A4:L4"/>
    </sheetView>
  </sheetViews>
  <sheetFormatPr defaultColWidth="11" defaultRowHeight="15" x14ac:dyDescent="0.25"/>
  <cols>
    <col min="1" max="1" width="5.7109375" style="18" customWidth="1"/>
    <col min="2" max="2" width="16.85546875" style="117" customWidth="1"/>
    <col min="3" max="3" width="12.85546875" style="18" customWidth="1"/>
    <col min="4" max="4" width="9.7109375" style="18" customWidth="1"/>
    <col min="5" max="5" width="10.28515625" style="72" customWidth="1"/>
    <col min="6" max="6" width="16.7109375" style="117" customWidth="1"/>
    <col min="7" max="7" width="19.140625" style="117" customWidth="1"/>
    <col min="8" max="8" width="18.42578125" style="117" customWidth="1"/>
    <col min="9" max="9" width="35.85546875" style="117" customWidth="1"/>
    <col min="10" max="10" width="17" style="18" customWidth="1"/>
    <col min="11" max="11" width="12.28515625" style="18" customWidth="1"/>
    <col min="12" max="12" width="11.7109375" style="18" customWidth="1"/>
    <col min="13" max="13" width="15.28515625" style="117" customWidth="1"/>
    <col min="14" max="16384" width="11" style="117"/>
  </cols>
  <sheetData>
    <row r="1" spans="1:13" s="18" customFormat="1" x14ac:dyDescent="0.25">
      <c r="E1" s="72"/>
    </row>
    <row r="2" spans="1:13" s="130" customFormat="1" ht="19.5" customHeight="1" x14ac:dyDescent="0.25">
      <c r="A2" s="158" t="s">
        <v>1068</v>
      </c>
      <c r="B2" s="158"/>
      <c r="C2" s="158"/>
      <c r="D2" s="158"/>
      <c r="E2" s="158"/>
      <c r="F2" s="158"/>
      <c r="G2" s="158"/>
      <c r="H2" s="158"/>
      <c r="I2" s="158"/>
      <c r="J2" s="158"/>
      <c r="K2" s="158"/>
      <c r="L2" s="158"/>
    </row>
    <row r="3" spans="1:13" s="130" customFormat="1" ht="20.25" customHeight="1" x14ac:dyDescent="0.25">
      <c r="A3" s="158" t="s">
        <v>1138</v>
      </c>
      <c r="B3" s="158"/>
      <c r="C3" s="158"/>
      <c r="D3" s="158"/>
      <c r="E3" s="158"/>
      <c r="F3" s="158"/>
      <c r="G3" s="158"/>
      <c r="H3" s="158"/>
      <c r="I3" s="158"/>
      <c r="J3" s="158"/>
      <c r="K3" s="158"/>
      <c r="L3" s="158"/>
    </row>
    <row r="4" spans="1:13" s="130" customFormat="1" ht="24" customHeight="1" x14ac:dyDescent="0.25">
      <c r="A4" s="158" t="s">
        <v>1140</v>
      </c>
      <c r="B4" s="158"/>
      <c r="C4" s="158"/>
      <c r="D4" s="158"/>
      <c r="E4" s="158"/>
      <c r="F4" s="158"/>
      <c r="G4" s="158"/>
      <c r="H4" s="158"/>
      <c r="I4" s="158"/>
      <c r="J4" s="158"/>
      <c r="K4" s="158"/>
      <c r="L4" s="158"/>
    </row>
    <row r="5" spans="1:13" s="18" customFormat="1" ht="16.5" customHeight="1" x14ac:dyDescent="0.25">
      <c r="E5" s="72"/>
    </row>
    <row r="6" spans="1:13" s="18" customFormat="1" ht="82.5" customHeight="1" x14ac:dyDescent="0.25">
      <c r="A6" s="1" t="s">
        <v>114</v>
      </c>
      <c r="B6" s="1" t="s">
        <v>113</v>
      </c>
      <c r="C6" s="1" t="s">
        <v>112</v>
      </c>
      <c r="D6" s="1" t="s">
        <v>111</v>
      </c>
      <c r="E6" s="2" t="s">
        <v>110</v>
      </c>
      <c r="F6" s="1" t="s">
        <v>109</v>
      </c>
      <c r="G6" s="1" t="s">
        <v>108</v>
      </c>
      <c r="H6" s="1" t="s">
        <v>107</v>
      </c>
      <c r="I6" s="1" t="s">
        <v>106</v>
      </c>
      <c r="J6" s="1" t="s">
        <v>105</v>
      </c>
      <c r="K6" s="1" t="s">
        <v>1054</v>
      </c>
      <c r="L6" s="10" t="s">
        <v>632</v>
      </c>
    </row>
    <row r="7" spans="1:13" s="18" customFormat="1" ht="16.5" customHeight="1" x14ac:dyDescent="0.25">
      <c r="A7" s="3">
        <v>1</v>
      </c>
      <c r="B7" s="3">
        <v>2</v>
      </c>
      <c r="C7" s="3">
        <v>3</v>
      </c>
      <c r="D7" s="4">
        <v>4</v>
      </c>
      <c r="E7" s="5">
        <v>5</v>
      </c>
      <c r="F7" s="3">
        <v>6</v>
      </c>
      <c r="G7" s="3">
        <v>7</v>
      </c>
      <c r="H7" s="3">
        <v>8</v>
      </c>
      <c r="I7" s="3">
        <v>9</v>
      </c>
      <c r="J7" s="4">
        <v>10</v>
      </c>
      <c r="K7" s="3">
        <v>11</v>
      </c>
      <c r="L7" s="4"/>
    </row>
    <row r="8" spans="1:13" ht="15" customHeight="1" x14ac:dyDescent="0.25">
      <c r="A8" s="6" t="s">
        <v>104</v>
      </c>
      <c r="B8" s="176" t="s">
        <v>1053</v>
      </c>
      <c r="C8" s="177"/>
      <c r="D8" s="177"/>
      <c r="E8" s="177"/>
      <c r="F8" s="177"/>
      <c r="G8" s="177"/>
      <c r="H8" s="177"/>
      <c r="I8" s="177"/>
      <c r="J8" s="177"/>
      <c r="K8" s="177"/>
      <c r="L8" s="178"/>
    </row>
    <row r="9" spans="1:13" s="128" customFormat="1" ht="120" x14ac:dyDescent="0.25">
      <c r="A9" s="1">
        <v>1</v>
      </c>
      <c r="B9" s="70" t="s">
        <v>1041</v>
      </c>
      <c r="C9" s="24" t="s">
        <v>1042</v>
      </c>
      <c r="D9" s="24">
        <v>450</v>
      </c>
      <c r="E9" s="96">
        <v>40865</v>
      </c>
      <c r="F9" s="70" t="s">
        <v>1043</v>
      </c>
      <c r="G9" s="70" t="s">
        <v>1044</v>
      </c>
      <c r="H9" s="70" t="s">
        <v>1045</v>
      </c>
      <c r="I9" s="70" t="s">
        <v>1046</v>
      </c>
      <c r="J9" s="24" t="s">
        <v>1047</v>
      </c>
      <c r="K9" s="24">
        <v>513</v>
      </c>
      <c r="L9" s="46"/>
    </row>
    <row r="10" spans="1:13" ht="150" x14ac:dyDescent="0.25">
      <c r="A10" s="12">
        <v>2</v>
      </c>
      <c r="B10" s="21" t="s">
        <v>73</v>
      </c>
      <c r="C10" s="4" t="s">
        <v>67</v>
      </c>
      <c r="D10" s="4" t="s">
        <v>72</v>
      </c>
      <c r="E10" s="20">
        <v>20000</v>
      </c>
      <c r="F10" s="21" t="s">
        <v>15</v>
      </c>
      <c r="G10" s="21" t="s">
        <v>71</v>
      </c>
      <c r="H10" s="21" t="s">
        <v>70</v>
      </c>
      <c r="I10" s="11" t="s">
        <v>69</v>
      </c>
      <c r="J10" s="4"/>
      <c r="K10" s="4"/>
      <c r="L10" s="4"/>
    </row>
    <row r="11" spans="1:13" ht="225" x14ac:dyDescent="0.25">
      <c r="A11" s="4">
        <v>3</v>
      </c>
      <c r="B11" s="21" t="s">
        <v>68</v>
      </c>
      <c r="C11" s="4" t="s">
        <v>67</v>
      </c>
      <c r="D11" s="4" t="s">
        <v>66</v>
      </c>
      <c r="E11" s="20">
        <v>13300</v>
      </c>
      <c r="F11" s="21" t="s">
        <v>53</v>
      </c>
      <c r="G11" s="21" t="s">
        <v>65</v>
      </c>
      <c r="H11" s="21" t="s">
        <v>215</v>
      </c>
      <c r="I11" s="11" t="s">
        <v>64</v>
      </c>
      <c r="J11" s="4"/>
      <c r="K11" s="4"/>
      <c r="L11" s="4"/>
    </row>
    <row r="12" spans="1:13" ht="165" x14ac:dyDescent="0.25">
      <c r="A12" s="12">
        <v>4</v>
      </c>
      <c r="B12" s="21" t="s">
        <v>170</v>
      </c>
      <c r="C12" s="4" t="s">
        <v>171</v>
      </c>
      <c r="D12" s="4">
        <v>420</v>
      </c>
      <c r="E12" s="36">
        <v>4200</v>
      </c>
      <c r="F12" s="15" t="s">
        <v>5</v>
      </c>
      <c r="G12" s="11" t="s">
        <v>172</v>
      </c>
      <c r="H12" s="21" t="s">
        <v>173</v>
      </c>
      <c r="I12" s="11" t="s">
        <v>175</v>
      </c>
      <c r="J12" s="4" t="s">
        <v>174</v>
      </c>
      <c r="K12" s="4"/>
      <c r="L12" s="4"/>
    </row>
    <row r="13" spans="1:13" ht="375" x14ac:dyDescent="0.25">
      <c r="A13" s="32">
        <v>5</v>
      </c>
      <c r="B13" s="58" t="s">
        <v>588</v>
      </c>
      <c r="C13" s="17" t="s">
        <v>484</v>
      </c>
      <c r="D13" s="27">
        <v>300</v>
      </c>
      <c r="E13" s="26">
        <v>3000</v>
      </c>
      <c r="F13" s="58" t="s">
        <v>485</v>
      </c>
      <c r="G13" s="59" t="s">
        <v>637</v>
      </c>
      <c r="H13" s="58" t="s">
        <v>486</v>
      </c>
      <c r="I13" s="58" t="s">
        <v>487</v>
      </c>
      <c r="J13" s="17" t="s">
        <v>639</v>
      </c>
      <c r="K13" s="17">
        <v>100</v>
      </c>
      <c r="L13" s="32" t="s">
        <v>638</v>
      </c>
      <c r="M13" s="117" t="s">
        <v>640</v>
      </c>
    </row>
    <row r="14" spans="1:13" ht="75" x14ac:dyDescent="0.25">
      <c r="A14" s="4">
        <v>6</v>
      </c>
      <c r="B14" s="8" t="s">
        <v>769</v>
      </c>
      <c r="C14" s="9" t="s">
        <v>764</v>
      </c>
      <c r="D14" s="9">
        <v>966</v>
      </c>
      <c r="E14" s="20">
        <v>2500</v>
      </c>
      <c r="F14" s="8" t="s">
        <v>770</v>
      </c>
      <c r="G14" s="8" t="s">
        <v>771</v>
      </c>
      <c r="H14" s="8" t="s">
        <v>772</v>
      </c>
      <c r="I14" s="8" t="s">
        <v>773</v>
      </c>
      <c r="J14" s="9" t="s">
        <v>117</v>
      </c>
      <c r="K14" s="9"/>
      <c r="L14" s="4"/>
    </row>
    <row r="15" spans="1:13" ht="90" x14ac:dyDescent="0.25">
      <c r="A15" s="4">
        <v>7</v>
      </c>
      <c r="B15" s="28" t="s">
        <v>907</v>
      </c>
      <c r="C15" s="14" t="s">
        <v>474</v>
      </c>
      <c r="D15" s="4">
        <v>170</v>
      </c>
      <c r="E15" s="23">
        <v>2000</v>
      </c>
      <c r="F15" s="28" t="s">
        <v>908</v>
      </c>
      <c r="G15" s="28" t="s">
        <v>909</v>
      </c>
      <c r="H15" s="28" t="s">
        <v>910</v>
      </c>
      <c r="I15" s="28" t="s">
        <v>911</v>
      </c>
      <c r="J15" s="14" t="s">
        <v>912</v>
      </c>
      <c r="K15" s="4">
        <v>350</v>
      </c>
      <c r="L15" s="4"/>
    </row>
    <row r="16" spans="1:13" ht="90" x14ac:dyDescent="0.25">
      <c r="A16" s="12">
        <v>8</v>
      </c>
      <c r="B16" s="28" t="s">
        <v>587</v>
      </c>
      <c r="C16" s="14" t="s">
        <v>386</v>
      </c>
      <c r="D16" s="14" t="s">
        <v>387</v>
      </c>
      <c r="E16" s="23">
        <v>1200</v>
      </c>
      <c r="F16" s="28" t="s">
        <v>388</v>
      </c>
      <c r="G16" s="28" t="s">
        <v>389</v>
      </c>
      <c r="H16" s="28" t="s">
        <v>439</v>
      </c>
      <c r="I16" s="28" t="s">
        <v>390</v>
      </c>
      <c r="J16" s="14" t="s">
        <v>391</v>
      </c>
      <c r="K16" s="14">
        <v>850</v>
      </c>
      <c r="L16" s="4"/>
    </row>
    <row r="17" spans="1:12" ht="150" x14ac:dyDescent="0.25">
      <c r="A17" s="4">
        <v>9</v>
      </c>
      <c r="B17" s="137" t="s">
        <v>77</v>
      </c>
      <c r="C17" s="138" t="s">
        <v>67</v>
      </c>
      <c r="D17" s="138" t="s">
        <v>76</v>
      </c>
      <c r="E17" s="139">
        <v>1125</v>
      </c>
      <c r="F17" s="138" t="s">
        <v>59</v>
      </c>
      <c r="G17" s="138" t="s">
        <v>1111</v>
      </c>
      <c r="H17" s="138" t="s">
        <v>74</v>
      </c>
      <c r="I17" s="140" t="s">
        <v>69</v>
      </c>
      <c r="J17" s="138"/>
      <c r="K17" s="149"/>
      <c r="L17" s="4"/>
    </row>
    <row r="18" spans="1:12" ht="90" x14ac:dyDescent="0.25">
      <c r="A18" s="4">
        <v>10</v>
      </c>
      <c r="B18" s="8" t="s">
        <v>763</v>
      </c>
      <c r="C18" s="9" t="s">
        <v>764</v>
      </c>
      <c r="D18" s="9">
        <v>25</v>
      </c>
      <c r="E18" s="20">
        <v>1000</v>
      </c>
      <c r="F18" s="8" t="s">
        <v>765</v>
      </c>
      <c r="G18" s="8" t="s">
        <v>765</v>
      </c>
      <c r="H18" s="8" t="s">
        <v>766</v>
      </c>
      <c r="I18" s="8" t="s">
        <v>767</v>
      </c>
      <c r="J18" s="9" t="s">
        <v>117</v>
      </c>
      <c r="K18" s="9" t="s">
        <v>768</v>
      </c>
      <c r="L18" s="4"/>
    </row>
    <row r="19" spans="1:12" ht="90" x14ac:dyDescent="0.25">
      <c r="A19" s="4">
        <v>11</v>
      </c>
      <c r="B19" s="63" t="s">
        <v>814</v>
      </c>
      <c r="C19" s="64" t="s">
        <v>809</v>
      </c>
      <c r="D19" s="64" t="s">
        <v>815</v>
      </c>
      <c r="E19" s="64" t="s">
        <v>816</v>
      </c>
      <c r="F19" s="63" t="s">
        <v>817</v>
      </c>
      <c r="G19" s="63" t="s">
        <v>818</v>
      </c>
      <c r="H19" s="63" t="s">
        <v>819</v>
      </c>
      <c r="I19" s="127" t="s">
        <v>820</v>
      </c>
      <c r="J19" s="64" t="s">
        <v>807</v>
      </c>
      <c r="K19" s="64">
        <v>100</v>
      </c>
      <c r="L19" s="4"/>
    </row>
    <row r="20" spans="1:12" ht="90" x14ac:dyDescent="0.25">
      <c r="A20" s="4">
        <v>12</v>
      </c>
      <c r="B20" s="63" t="s">
        <v>821</v>
      </c>
      <c r="C20" s="64" t="s">
        <v>809</v>
      </c>
      <c r="D20" s="64" t="s">
        <v>815</v>
      </c>
      <c r="E20" s="64" t="s">
        <v>816</v>
      </c>
      <c r="F20" s="63" t="s">
        <v>817</v>
      </c>
      <c r="G20" s="63" t="s">
        <v>822</v>
      </c>
      <c r="H20" s="63" t="s">
        <v>819</v>
      </c>
      <c r="I20" s="127" t="s">
        <v>820</v>
      </c>
      <c r="J20" s="64" t="s">
        <v>807</v>
      </c>
      <c r="K20" s="64">
        <v>100</v>
      </c>
      <c r="L20" s="4"/>
    </row>
    <row r="21" spans="1:12" ht="75" x14ac:dyDescent="0.25">
      <c r="A21" s="4">
        <v>13</v>
      </c>
      <c r="B21" s="21" t="s">
        <v>850</v>
      </c>
      <c r="C21" s="4" t="s">
        <v>843</v>
      </c>
      <c r="D21" s="4">
        <v>150</v>
      </c>
      <c r="E21" s="23">
        <v>668</v>
      </c>
      <c r="F21" s="21" t="s">
        <v>268</v>
      </c>
      <c r="G21" s="21" t="s">
        <v>849</v>
      </c>
      <c r="H21" s="21" t="s">
        <v>1062</v>
      </c>
      <c r="I21" s="11" t="s">
        <v>1061</v>
      </c>
      <c r="J21" s="4" t="s">
        <v>22</v>
      </c>
      <c r="K21" s="4">
        <v>75</v>
      </c>
      <c r="L21" s="4"/>
    </row>
    <row r="22" spans="1:12" ht="270" x14ac:dyDescent="0.25">
      <c r="A22" s="12">
        <v>14</v>
      </c>
      <c r="B22" s="21" t="s">
        <v>586</v>
      </c>
      <c r="C22" s="4" t="s">
        <v>6</v>
      </c>
      <c r="D22" s="48" t="s">
        <v>76</v>
      </c>
      <c r="E22" s="20">
        <v>300</v>
      </c>
      <c r="F22" s="15" t="s">
        <v>5</v>
      </c>
      <c r="G22" s="11" t="s">
        <v>643</v>
      </c>
      <c r="H22" s="129" t="s">
        <v>60</v>
      </c>
      <c r="I22" s="11" t="s">
        <v>307</v>
      </c>
      <c r="J22" s="4" t="s">
        <v>7</v>
      </c>
      <c r="K22" s="4">
        <v>25</v>
      </c>
      <c r="L22" s="4"/>
    </row>
    <row r="23" spans="1:12" ht="105" x14ac:dyDescent="0.25">
      <c r="A23" s="4">
        <v>15</v>
      </c>
      <c r="B23" s="28" t="s">
        <v>529</v>
      </c>
      <c r="C23" s="14" t="s">
        <v>528</v>
      </c>
      <c r="D23" s="14" t="s">
        <v>369</v>
      </c>
      <c r="E23" s="47">
        <v>180</v>
      </c>
      <c r="F23" s="28" t="s">
        <v>530</v>
      </c>
      <c r="G23" s="28" t="s">
        <v>531</v>
      </c>
      <c r="H23" s="28" t="s">
        <v>532</v>
      </c>
      <c r="I23" s="28" t="s">
        <v>533</v>
      </c>
      <c r="J23" s="14" t="s">
        <v>534</v>
      </c>
      <c r="K23" s="14"/>
      <c r="L23" s="4"/>
    </row>
    <row r="24" spans="1:12" ht="60" x14ac:dyDescent="0.25">
      <c r="A24" s="12">
        <v>16</v>
      </c>
      <c r="B24" s="28" t="s">
        <v>518</v>
      </c>
      <c r="C24" s="14" t="s">
        <v>515</v>
      </c>
      <c r="D24" s="9">
        <v>10</v>
      </c>
      <c r="E24" s="23">
        <v>150</v>
      </c>
      <c r="F24" s="28" t="s">
        <v>237</v>
      </c>
      <c r="G24" s="28" t="s">
        <v>237</v>
      </c>
      <c r="H24" s="28" t="s">
        <v>519</v>
      </c>
      <c r="I24" s="28" t="s">
        <v>517</v>
      </c>
      <c r="J24" s="14" t="s">
        <v>398</v>
      </c>
      <c r="K24" s="9">
        <v>15</v>
      </c>
      <c r="L24" s="4"/>
    </row>
    <row r="25" spans="1:12" ht="105" x14ac:dyDescent="0.25">
      <c r="A25" s="4">
        <v>17</v>
      </c>
      <c r="B25" s="28" t="s">
        <v>523</v>
      </c>
      <c r="C25" s="14" t="s">
        <v>524</v>
      </c>
      <c r="D25" s="14" t="s">
        <v>525</v>
      </c>
      <c r="E25" s="35">
        <v>150</v>
      </c>
      <c r="F25" s="28" t="s">
        <v>526</v>
      </c>
      <c r="G25" s="28" t="s">
        <v>527</v>
      </c>
      <c r="H25" s="28"/>
      <c r="I25" s="28" t="s">
        <v>642</v>
      </c>
      <c r="J25" s="14" t="s">
        <v>598</v>
      </c>
      <c r="K25" s="14">
        <v>45</v>
      </c>
      <c r="L25" s="4"/>
    </row>
    <row r="26" spans="1:12" ht="90" x14ac:dyDescent="0.25">
      <c r="A26" s="4">
        <v>18</v>
      </c>
      <c r="B26" s="97" t="s">
        <v>746</v>
      </c>
      <c r="C26" s="14" t="s">
        <v>747</v>
      </c>
      <c r="D26" s="14">
        <v>25</v>
      </c>
      <c r="E26" s="14">
        <v>150</v>
      </c>
      <c r="F26" s="28" t="s">
        <v>748</v>
      </c>
      <c r="G26" s="28" t="s">
        <v>749</v>
      </c>
      <c r="H26" s="14" t="s">
        <v>750</v>
      </c>
      <c r="I26" s="28" t="s">
        <v>751</v>
      </c>
      <c r="J26" s="14" t="s">
        <v>239</v>
      </c>
      <c r="K26" s="132">
        <v>75</v>
      </c>
      <c r="L26" s="4"/>
    </row>
    <row r="27" spans="1:12" ht="75" x14ac:dyDescent="0.25">
      <c r="A27" s="12">
        <v>19</v>
      </c>
      <c r="B27" s="15" t="s">
        <v>535</v>
      </c>
      <c r="C27" s="19" t="s">
        <v>536</v>
      </c>
      <c r="D27" s="19">
        <v>27.4</v>
      </c>
      <c r="E27" s="20">
        <v>100</v>
      </c>
      <c r="F27" s="15" t="s">
        <v>537</v>
      </c>
      <c r="G27" s="15" t="s">
        <v>538</v>
      </c>
      <c r="H27" s="15" t="s">
        <v>539</v>
      </c>
      <c r="I27" s="15" t="s">
        <v>540</v>
      </c>
      <c r="J27" s="19" t="s">
        <v>541</v>
      </c>
      <c r="K27" s="19">
        <v>10</v>
      </c>
      <c r="L27" s="4"/>
    </row>
    <row r="28" spans="1:12" ht="120" x14ac:dyDescent="0.25">
      <c r="A28" s="4">
        <v>20</v>
      </c>
      <c r="B28" s="21" t="s">
        <v>836</v>
      </c>
      <c r="C28" s="14" t="s">
        <v>837</v>
      </c>
      <c r="D28" s="14">
        <v>108.5</v>
      </c>
      <c r="E28" s="14">
        <v>70</v>
      </c>
      <c r="F28" s="28" t="s">
        <v>838</v>
      </c>
      <c r="G28" s="28" t="s">
        <v>839</v>
      </c>
      <c r="H28" s="28" t="s">
        <v>840</v>
      </c>
      <c r="I28" s="122" t="s">
        <v>827</v>
      </c>
      <c r="J28" s="14" t="s">
        <v>841</v>
      </c>
      <c r="K28" s="4">
        <v>20</v>
      </c>
      <c r="L28" s="4"/>
    </row>
    <row r="29" spans="1:12" ht="22.5" customHeight="1" x14ac:dyDescent="0.25">
      <c r="A29" s="6" t="s">
        <v>93</v>
      </c>
      <c r="B29" s="176" t="s">
        <v>1139</v>
      </c>
      <c r="C29" s="177"/>
      <c r="D29" s="177"/>
      <c r="E29" s="177"/>
      <c r="F29" s="177"/>
      <c r="G29" s="177"/>
      <c r="H29" s="177"/>
      <c r="I29" s="177"/>
      <c r="J29" s="177"/>
      <c r="K29" s="177"/>
      <c r="L29" s="178"/>
    </row>
    <row r="30" spans="1:12" ht="72.75" customHeight="1" x14ac:dyDescent="0.25">
      <c r="A30" s="4">
        <v>21</v>
      </c>
      <c r="B30" s="179" t="s">
        <v>1130</v>
      </c>
      <c r="C30" s="179" t="s">
        <v>1131</v>
      </c>
      <c r="D30" s="180">
        <v>126</v>
      </c>
      <c r="E30" s="181">
        <v>3000</v>
      </c>
      <c r="F30" s="179" t="s">
        <v>1132</v>
      </c>
      <c r="G30" s="182"/>
      <c r="H30" s="179" t="s">
        <v>1133</v>
      </c>
      <c r="I30" s="183" t="s">
        <v>1134</v>
      </c>
      <c r="J30" s="179" t="s">
        <v>942</v>
      </c>
      <c r="K30" s="184"/>
      <c r="L30" s="185"/>
    </row>
    <row r="31" spans="1:12" ht="72.75" customHeight="1" x14ac:dyDescent="0.25">
      <c r="A31" s="4">
        <v>22</v>
      </c>
      <c r="B31" s="50" t="s">
        <v>944</v>
      </c>
      <c r="C31" s="49" t="s">
        <v>4</v>
      </c>
      <c r="D31" s="49">
        <v>299</v>
      </c>
      <c r="E31" s="36">
        <v>2000</v>
      </c>
      <c r="F31" s="50" t="s">
        <v>3</v>
      </c>
      <c r="G31" s="50" t="s">
        <v>2</v>
      </c>
      <c r="H31" s="50" t="s">
        <v>1</v>
      </c>
      <c r="I31" s="50" t="s">
        <v>300</v>
      </c>
      <c r="J31" s="4" t="s">
        <v>0</v>
      </c>
      <c r="K31" s="51">
        <v>400</v>
      </c>
      <c r="L31" s="4" t="s">
        <v>633</v>
      </c>
    </row>
    <row r="32" spans="1:12" ht="285" x14ac:dyDescent="0.25">
      <c r="A32" s="4">
        <v>23</v>
      </c>
      <c r="B32" s="50" t="s">
        <v>165</v>
      </c>
      <c r="C32" s="49" t="s">
        <v>166</v>
      </c>
      <c r="D32" s="49" t="s">
        <v>167</v>
      </c>
      <c r="E32" s="36">
        <v>2000</v>
      </c>
      <c r="F32" s="50" t="s">
        <v>169</v>
      </c>
      <c r="G32" s="50" t="s">
        <v>168</v>
      </c>
      <c r="H32" s="21" t="s">
        <v>164</v>
      </c>
      <c r="I32" s="52" t="s">
        <v>296</v>
      </c>
      <c r="J32" s="4" t="s">
        <v>0</v>
      </c>
      <c r="K32" s="51"/>
      <c r="L32" s="4" t="s">
        <v>633</v>
      </c>
    </row>
    <row r="33" spans="1:12" ht="150" x14ac:dyDescent="0.25">
      <c r="A33" s="4">
        <v>24</v>
      </c>
      <c r="B33" s="28" t="s">
        <v>937</v>
      </c>
      <c r="C33" s="14" t="s">
        <v>938</v>
      </c>
      <c r="D33" s="14" t="s">
        <v>939</v>
      </c>
      <c r="E33" s="53">
        <v>1020</v>
      </c>
      <c r="F33" s="28" t="s">
        <v>75</v>
      </c>
      <c r="G33" s="28" t="s">
        <v>941</v>
      </c>
      <c r="H33" s="28" t="s">
        <v>940</v>
      </c>
      <c r="I33" s="11" t="s">
        <v>943</v>
      </c>
      <c r="J33" s="14" t="s">
        <v>942</v>
      </c>
      <c r="K33" s="51"/>
      <c r="L33" s="4"/>
    </row>
    <row r="34" spans="1:12" ht="270" x14ac:dyDescent="0.25">
      <c r="A34" s="4">
        <v>25</v>
      </c>
      <c r="B34" s="21" t="s">
        <v>556</v>
      </c>
      <c r="C34" s="4" t="s">
        <v>6</v>
      </c>
      <c r="D34" s="4" t="s">
        <v>139</v>
      </c>
      <c r="E34" s="36">
        <v>1000</v>
      </c>
      <c r="F34" s="15" t="s">
        <v>5</v>
      </c>
      <c r="G34" s="11" t="s">
        <v>644</v>
      </c>
      <c r="H34" s="21" t="s">
        <v>164</v>
      </c>
      <c r="I34" s="11" t="s">
        <v>306</v>
      </c>
      <c r="J34" s="4" t="s">
        <v>0</v>
      </c>
      <c r="K34" s="4">
        <v>100</v>
      </c>
      <c r="L34" s="4" t="s">
        <v>633</v>
      </c>
    </row>
    <row r="35" spans="1:12" ht="90" x14ac:dyDescent="0.25">
      <c r="A35" s="4">
        <v>26</v>
      </c>
      <c r="B35" s="8" t="s">
        <v>1035</v>
      </c>
      <c r="C35" s="9" t="s">
        <v>1036</v>
      </c>
      <c r="D35" s="9">
        <v>450</v>
      </c>
      <c r="E35" s="93" t="s">
        <v>1052</v>
      </c>
      <c r="F35" s="28" t="s">
        <v>360</v>
      </c>
      <c r="G35" s="28" t="s">
        <v>1037</v>
      </c>
      <c r="H35" s="28" t="s">
        <v>1038</v>
      </c>
      <c r="I35" s="28" t="s">
        <v>1039</v>
      </c>
      <c r="J35" s="14" t="s">
        <v>430</v>
      </c>
      <c r="K35" s="14" t="s">
        <v>1040</v>
      </c>
      <c r="L35" s="4"/>
    </row>
    <row r="36" spans="1:12" ht="240" x14ac:dyDescent="0.25">
      <c r="A36" s="4">
        <v>27</v>
      </c>
      <c r="B36" s="122" t="s">
        <v>1048</v>
      </c>
      <c r="C36" s="14" t="s">
        <v>1049</v>
      </c>
      <c r="D36" s="14">
        <v>191</v>
      </c>
      <c r="E36" s="93"/>
      <c r="F36" s="28"/>
      <c r="G36" s="28"/>
      <c r="H36" s="28"/>
      <c r="I36" s="28" t="s">
        <v>1050</v>
      </c>
      <c r="J36" s="14" t="s">
        <v>1051</v>
      </c>
      <c r="K36" s="14"/>
      <c r="L36" s="4"/>
    </row>
    <row r="37" spans="1:12" ht="328.5" customHeight="1" x14ac:dyDescent="0.25">
      <c r="A37" s="12">
        <v>28</v>
      </c>
      <c r="B37" s="21" t="s">
        <v>554</v>
      </c>
      <c r="C37" s="4" t="s">
        <v>298</v>
      </c>
      <c r="D37" s="4">
        <v>6.56</v>
      </c>
      <c r="E37" s="20">
        <v>131</v>
      </c>
      <c r="F37" s="21" t="s">
        <v>368</v>
      </c>
      <c r="G37" s="21" t="s">
        <v>299</v>
      </c>
      <c r="H37" s="21" t="s">
        <v>934</v>
      </c>
      <c r="I37" s="11" t="s">
        <v>935</v>
      </c>
      <c r="J37" s="4" t="s">
        <v>936</v>
      </c>
      <c r="K37" s="4" t="s">
        <v>1135</v>
      </c>
      <c r="L37" s="4"/>
    </row>
  </sheetData>
  <autoFilter ref="A6:K37" xr:uid="{00000000-0009-0000-0000-000005000000}"/>
  <mergeCells count="5">
    <mergeCell ref="A2:L2"/>
    <mergeCell ref="B8:L8"/>
    <mergeCell ref="B29:L29"/>
    <mergeCell ref="A3:L3"/>
    <mergeCell ref="A4:L4"/>
  </mergeCells>
  <pageMargins left="0.1" right="0.1" top="0.2" bottom="0.1" header="0.2" footer="0.25"/>
  <pageSetup paperSize="9" scale="7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NLTT</vt:lpstr>
      <vt:lpstr>Đô thị</vt:lpstr>
      <vt:lpstr>Khu CCCN, cang bien, logistic</vt:lpstr>
      <vt:lpstr>NN, CNCB, TMDV</vt:lpstr>
      <vt:lpstr>YT-GD-MT-CNTT</vt:lpstr>
      <vt:lpstr>DL, The Thao</vt:lpstr>
      <vt:lpstr>'DL, The Thao'!Print_Titles</vt:lpstr>
      <vt:lpstr>NLTT!Print_Titles</vt:lpstr>
      <vt:lpstr>'NN, CNCB, TMDV'!Print_Titles</vt:lpstr>
      <vt:lpstr>'YT-GD-MT-CNTT'!Print_Titles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 Huy</dc:creator>
  <cp:lastModifiedBy>Administrator</cp:lastModifiedBy>
  <cp:lastPrinted>2026-04-29T01:54:54Z</cp:lastPrinted>
  <dcterms:created xsi:type="dcterms:W3CDTF">2025-10-20T09:13:22Z</dcterms:created>
  <dcterms:modified xsi:type="dcterms:W3CDTF">2026-04-29T08:02:44Z</dcterms:modified>
</cp:coreProperties>
</file>